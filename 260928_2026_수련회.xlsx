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E9C8E76B-8B1B-4ED0-BC24-D248FD7F61F9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종합" sheetId="2" r:id="rId1"/>
    <sheet name="엔젤" sheetId="3" r:id="rId2"/>
    <sheet name="25년예산" sheetId="4" r:id="rId3"/>
    <sheet name="정리" sheetId="5" r:id="rId4"/>
  </sheets>
  <definedNames>
    <definedName name="_xlnm._FilterDatabase" localSheetId="0" hidden="1">종합!$B$1:$K$163</definedName>
  </definedNames>
  <calcPr calcId="191029"/>
</workbook>
</file>

<file path=xl/calcChain.xml><?xml version="1.0" encoding="utf-8"?>
<calcChain xmlns="http://schemas.openxmlformats.org/spreadsheetml/2006/main">
  <c r="C21" i="3" l="1"/>
  <c r="J167" i="2" s="1"/>
  <c r="K165" i="2"/>
  <c r="J165" i="2"/>
  <c r="E19" i="4"/>
  <c r="D19" i="4"/>
  <c r="C19" i="4"/>
  <c r="E7" i="4"/>
  <c r="E20" i="4" s="1"/>
  <c r="D7" i="4"/>
  <c r="D20" i="4" s="1"/>
  <c r="C7" i="4"/>
  <c r="C20" i="4" s="1"/>
  <c r="J172" i="2" l="1"/>
</calcChain>
</file>

<file path=xl/sharedStrings.xml><?xml version="1.0" encoding="utf-8"?>
<sst xmlns="http://schemas.openxmlformats.org/spreadsheetml/2006/main" count="1116" uniqueCount="407">
  <si>
    <t>마을</t>
  </si>
  <si>
    <t>목장</t>
  </si>
  <si>
    <t>목자</t>
  </si>
  <si>
    <t>구성원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</si>
  <si>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</si>
  <si>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</si>
  <si>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</si>
  <si>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</si>
  <si>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</si>
  <si>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</si>
  <si>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</si>
  <si>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</si>
  <si>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</si>
  <si>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</si>
  <si>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</si>
  <si>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</si>
  <si>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</si>
  <si>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</si>
  <si>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</si>
  <si>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</si>
  <si>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</si>
  <si>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</si>
  <si>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미정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</si>
  <si>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</si>
  <si>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</si>
  <si>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</si>
  <si>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</si>
  <si>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</si>
  <si>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</si>
  <si>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</si>
  <si>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</si>
  <si>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</si>
  <si>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</si>
  <si>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</si>
  <si>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</si>
  <si>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</si>
  <si>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</si>
  <si>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</si>
  <si>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</si>
  <si>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</si>
  <si>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</si>
  <si>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</si>
  <si>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</si>
  <si>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</si>
  <si>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</si>
  <si>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</si>
  <si>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</si>
  <si>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</si>
  <si>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</si>
  <si>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</si>
  <si>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</si>
  <si>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</si>
  <si>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</si>
  <si>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</si>
  <si>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</si>
  <si>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</si>
  <si>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</si>
  <si>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</si>
  <si>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</si>
  <si>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</si>
  <si>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</si>
  <si>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</si>
  <si>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</si>
  <si>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</si>
  <si>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</si>
  <si>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</si>
  <si>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</si>
  <si>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</si>
  <si>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</si>
  <si>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</si>
  <si>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</si>
  <si>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</si>
  <si>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</si>
  <si>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</si>
  <si>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</si>
  <si>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</si>
  <si>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</si>
  <si>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</si>
  <si>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</si>
  <si>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</si>
  <si>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</si>
  <si>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</si>
  <si>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</si>
  <si>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</si>
  <si>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</si>
  <si>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</si>
  <si>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</si>
  <si>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</si>
  <si>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</si>
  <si>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</si>
  <si>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</si>
  <si>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</si>
  <si>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</si>
  <si>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</si>
  <si>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</si>
  <si>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</si>
  <si>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</si>
  <si>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</si>
  <si>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</si>
  <si>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</si>
  <si>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</si>
  <si>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</si>
  <si>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</si>
  <si>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</si>
  <si>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</si>
  <si>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</si>
  <si>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</si>
  <si>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</si>
  <si>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</si>
  <si>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</si>
  <si>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</si>
  <si>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</si>
  <si>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</si>
  <si>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</si>
  <si>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</si>
  <si>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</si>
  <si>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</si>
  <si>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</si>
  <si>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</si>
  <si>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</si>
  <si>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</si>
  <si>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</si>
  <si>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</si>
  <si>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</si>
  <si>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</si>
  <si>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</si>
  <si>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</si>
  <si>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</si>
  <si>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</si>
  <si>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</si>
  <si>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</si>
  <si>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</si>
  <si>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</si>
  <si>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</si>
  <si>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</si>
  <si>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</si>
  <si>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</si>
  <si>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</si>
  <si>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</si>
  <si>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</si>
  <si>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</si>
  <si>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</si>
  <si>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</si>
  <si>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</si>
  <si>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</si>
  <si>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</si>
  <si>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</si>
  <si>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</si>
  <si>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</si>
  <si>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</si>
  <si>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</si>
  <si>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</si>
  <si>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</si>
  <si>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</si>
  <si>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</si>
  <si>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</si>
  <si>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</si>
  <si>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</si>
  <si>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</si>
  <si>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</si>
  <si>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</si>
  <si>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</si>
  <si>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</si>
  <si>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</si>
  <si>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</si>
  <si>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</si>
  <si>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</si>
  <si>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</si>
  <si>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</si>
  <si>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</si>
  <si>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</si>
  <si>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</si>
  <si>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</si>
  <si>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</si>
  <si>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</si>
  <si>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</si>
  <si>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</si>
  <si>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</si>
  <si>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</si>
  <si>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</si>
  <si>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</si>
  <si>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</si>
  <si>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</si>
  <si>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</si>
  <si>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</si>
  <si>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</si>
  <si>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</si>
  <si>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</si>
  <si>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</si>
  <si>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</si>
  <si>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</si>
  <si>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</si>
  <si>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</si>
  <si>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</si>
  <si>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</si>
  <si>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</si>
  <si>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</si>
  <si>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</si>
  <si>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</si>
  <si>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</si>
  <si>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</si>
  <si>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</si>
  <si>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</si>
  <si>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</si>
  <si>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</si>
  <si>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</si>
  <si>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</si>
  <si>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</si>
  <si>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</si>
  <si>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</si>
  <si>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</si>
  <si>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</si>
  <si>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</si>
  <si>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</si>
  <si>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</si>
  <si>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</si>
  <si>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</si>
  <si>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</si>
  <si>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</si>
  <si>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</si>
  <si>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</si>
  <si>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</si>
  <si>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</si>
  <si>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</si>
  <si>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</si>
  <si>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</si>
  <si>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</si>
  <si>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</si>
  <si>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</si>
  <si>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</si>
  <si>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</si>
  <si>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</si>
  <si>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</si>
  <si>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</si>
  <si>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</si>
  <si>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</si>
  <si>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</si>
  <si>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</si>
  <si>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</si>
  <si>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</si>
  <si>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</si>
  <si>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</si>
  <si>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</si>
  <si>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</si>
  <si>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</si>
  <si>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</si>
  <si>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</si>
  <si>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</si>
  <si>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</si>
  <si>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</si>
  <si>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</si>
  <si>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</si>
  <si>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</si>
  <si>
    <t>미정</t>
    <phoneticPr fontId="3" type="noConversion"/>
  </si>
  <si>
    <t>회비</t>
    <phoneticPr fontId="3" type="noConversion"/>
  </si>
  <si>
    <t>851019-1037714</t>
    <phoneticPr fontId="3" type="noConversion"/>
  </si>
  <si>
    <t>850509-2530711</t>
  </si>
  <si>
    <t>210715-3617458</t>
  </si>
  <si>
    <t>230702-4350990</t>
    <phoneticPr fontId="4" type="noConversion"/>
  </si>
  <si>
    <t>770320-2804617</t>
    <phoneticPr fontId="4" type="noConversion"/>
  </si>
  <si>
    <t>110301-3449522</t>
    <phoneticPr fontId="4" type="noConversion"/>
  </si>
  <si>
    <t>690103-4455927</t>
  </si>
  <si>
    <t>740525-2449023</t>
    <phoneticPr fontId="4" type="noConversion"/>
  </si>
  <si>
    <t>760407-1448912</t>
    <phoneticPr fontId="4" type="noConversion"/>
  </si>
  <si>
    <t>820520-2560432</t>
    <phoneticPr fontId="4" type="noConversion"/>
  </si>
  <si>
    <t>150821-4407427</t>
    <phoneticPr fontId="4" type="noConversion"/>
  </si>
  <si>
    <t>180825-4407418</t>
    <phoneticPr fontId="4" type="noConversion"/>
  </si>
  <si>
    <t>390728-1063518</t>
    <phoneticPr fontId="4" type="noConversion"/>
  </si>
  <si>
    <t>620728-2822210</t>
    <phoneticPr fontId="4" type="noConversion"/>
  </si>
  <si>
    <t>성인</t>
    <phoneticPr fontId="3" type="noConversion"/>
  </si>
  <si>
    <t>나이</t>
    <phoneticPr fontId="3" type="noConversion"/>
  </si>
  <si>
    <t>이은채</t>
    <phoneticPr fontId="3" type="noConversion"/>
  </si>
  <si>
    <t>길기원</t>
    <phoneticPr fontId="3" type="noConversion"/>
  </si>
  <si>
    <t>유승균</t>
    <phoneticPr fontId="3" type="noConversion"/>
  </si>
  <si>
    <t>유슬기</t>
    <phoneticPr fontId="3" type="noConversion"/>
  </si>
  <si>
    <t>임한서</t>
    <phoneticPr fontId="3" type="noConversion"/>
  </si>
  <si>
    <t>김정선</t>
    <phoneticPr fontId="3" type="noConversion"/>
  </si>
  <si>
    <t>임은서</t>
    <phoneticPr fontId="3" type="noConversion"/>
  </si>
  <si>
    <t>이태정</t>
    <phoneticPr fontId="3" type="noConversion"/>
  </si>
  <si>
    <t>초등</t>
    <phoneticPr fontId="3" type="noConversion"/>
  </si>
  <si>
    <t>유아</t>
    <phoneticPr fontId="3" type="noConversion"/>
  </si>
  <si>
    <t>유치</t>
    <phoneticPr fontId="3" type="noConversion"/>
  </si>
  <si>
    <t>청소년</t>
    <phoneticPr fontId="3" type="noConversion"/>
  </si>
  <si>
    <t>800302-1455418</t>
    <phoneticPr fontId="3" type="noConversion"/>
  </si>
  <si>
    <t>821228-2226832</t>
    <phoneticPr fontId="3" type="noConversion"/>
  </si>
  <si>
    <t>100206-3403815</t>
    <phoneticPr fontId="3" type="noConversion"/>
  </si>
  <si>
    <t>110825-3407211</t>
    <phoneticPr fontId="3" type="noConversion"/>
  </si>
  <si>
    <t>141018-3407228</t>
    <phoneticPr fontId="3" type="noConversion"/>
  </si>
  <si>
    <t>950301-1212710</t>
    <phoneticPr fontId="3" type="noConversion"/>
  </si>
  <si>
    <t>980826-2406227</t>
    <phoneticPr fontId="3" type="noConversion"/>
  </si>
  <si>
    <t>250730-4990156</t>
    <phoneticPr fontId="3" type="noConversion"/>
  </si>
  <si>
    <t>980228-1048213</t>
    <phoneticPr fontId="3" type="noConversion"/>
  </si>
  <si>
    <t>불참</t>
    <phoneticPr fontId="3" type="noConversion"/>
  </si>
  <si>
    <t>761202-1408010</t>
    <phoneticPr fontId="3" type="noConversion"/>
  </si>
  <si>
    <t>790915-2537011</t>
    <phoneticPr fontId="3" type="noConversion"/>
  </si>
  <si>
    <t>891110-1050321</t>
    <phoneticPr fontId="3" type="noConversion"/>
  </si>
  <si>
    <t>850118-2405518</t>
    <phoneticPr fontId="3" type="noConversion"/>
  </si>
  <si>
    <t>201002-3691747</t>
    <phoneticPr fontId="3" type="noConversion"/>
  </si>
  <si>
    <t>참석(토)</t>
    <phoneticPr fontId="3" type="noConversion"/>
  </si>
  <si>
    <t>참석(일)</t>
    <phoneticPr fontId="3" type="noConversion"/>
  </si>
  <si>
    <t>840820-2011035</t>
    <phoneticPr fontId="3" type="noConversion"/>
  </si>
  <si>
    <t>670224-5760023</t>
    <phoneticPr fontId="3" type="noConversion"/>
  </si>
  <si>
    <t>700803-6760039</t>
    <phoneticPr fontId="3" type="noConversion"/>
  </si>
  <si>
    <t>020510-4449323</t>
    <phoneticPr fontId="3" type="noConversion"/>
  </si>
  <si>
    <t>071118-4242014</t>
    <phoneticPr fontId="3" type="noConversion"/>
  </si>
  <si>
    <t>071213-3407224</t>
  </si>
  <si>
    <t>사역자</t>
    <phoneticPr fontId="3" type="noConversion"/>
  </si>
  <si>
    <t>임진산</t>
  </si>
  <si>
    <t>한연경</t>
  </si>
  <si>
    <t>730120-1405620</t>
  </si>
  <si>
    <t>750315-2063517</t>
  </si>
  <si>
    <t>추정옥</t>
    <phoneticPr fontId="3" type="noConversion"/>
  </si>
  <si>
    <t>조길환</t>
    <phoneticPr fontId="3" type="noConversion"/>
  </si>
  <si>
    <t>이연필</t>
    <phoneticPr fontId="3" type="noConversion"/>
  </si>
  <si>
    <t>오지나</t>
    <phoneticPr fontId="3" type="noConversion"/>
  </si>
  <si>
    <t>더불어</t>
    <phoneticPr fontId="3" type="noConversion"/>
  </si>
  <si>
    <t>박종연, 김윤희</t>
    <phoneticPr fontId="3" type="noConversion"/>
  </si>
  <si>
    <t>260220-3819668</t>
    <phoneticPr fontId="3" type="noConversion"/>
  </si>
  <si>
    <t>김윤희</t>
    <phoneticPr fontId="3" type="noConversion"/>
  </si>
  <si>
    <t>배나희</t>
    <phoneticPr fontId="3" type="noConversion"/>
  </si>
  <si>
    <t>유은혜</t>
    <phoneticPr fontId="3" type="noConversion"/>
  </si>
  <si>
    <t>040610-3404210</t>
    <phoneticPr fontId="3" type="noConversion"/>
  </si>
  <si>
    <t>070801-4402321</t>
    <phoneticPr fontId="3" type="noConversion"/>
  </si>
  <si>
    <t>미납</t>
    <phoneticPr fontId="3" type="noConversion"/>
  </si>
  <si>
    <t>성인</t>
    <phoneticPr fontId="3" type="noConversion"/>
  </si>
  <si>
    <t>초등</t>
    <phoneticPr fontId="3" type="noConversion"/>
  </si>
  <si>
    <t xml:space="preserve">2025년 전교인 수련회 예산 및 결산 </t>
    <phoneticPr fontId="4" type="noConversion"/>
  </si>
  <si>
    <t>구분</t>
    <phoneticPr fontId="4" type="noConversion"/>
  </si>
  <si>
    <t>2025년 예산</t>
    <phoneticPr fontId="4" type="noConversion"/>
  </si>
  <si>
    <t>2025년 결산</t>
    <phoneticPr fontId="4" type="noConversion"/>
  </si>
  <si>
    <t>2023년 결산</t>
    <phoneticPr fontId="4" type="noConversion"/>
  </si>
  <si>
    <t>비고</t>
    <phoneticPr fontId="4" type="noConversion"/>
  </si>
  <si>
    <t xml:space="preserve">수입 </t>
    <phoneticPr fontId="4" type="noConversion"/>
  </si>
  <si>
    <t>수련회비</t>
    <phoneticPr fontId="4" type="noConversion"/>
  </si>
  <si>
    <t>중학생이상 7만원, 유초등 5만원(36개월 미만 제외) : 146명 참석(도우미 7인 포함)</t>
    <phoneticPr fontId="4" type="noConversion"/>
  </si>
  <si>
    <t>교회 예산지원</t>
    <phoneticPr fontId="4" type="noConversion"/>
  </si>
  <si>
    <t xml:space="preserve">작년 수련회 이월금 200만원과 교회에서 100만원 </t>
    <phoneticPr fontId="4" type="noConversion"/>
  </si>
  <si>
    <t>엔젤헌금</t>
    <phoneticPr fontId="4" type="noConversion"/>
  </si>
  <si>
    <t>엔젤 헌금</t>
    <phoneticPr fontId="4" type="noConversion"/>
  </si>
  <si>
    <t>이자수입</t>
    <phoneticPr fontId="4" type="noConversion"/>
  </si>
  <si>
    <t>2025-09-07 기준</t>
    <phoneticPr fontId="4" type="noConversion"/>
  </si>
  <si>
    <t>수입 계</t>
    <phoneticPr fontId="4" type="noConversion"/>
  </si>
  <si>
    <t>지출</t>
    <phoneticPr fontId="4" type="noConversion"/>
  </si>
  <si>
    <t>수련원 : 숙박비(8인실)</t>
    <phoneticPr fontId="4" type="noConversion"/>
  </si>
  <si>
    <t>17개 * 8만원</t>
    <phoneticPr fontId="4" type="noConversion"/>
  </si>
  <si>
    <t>수련원 : 숙박비(4인실)</t>
    <phoneticPr fontId="4" type="noConversion"/>
  </si>
  <si>
    <t>13개 * 7만원</t>
    <phoneticPr fontId="4" type="noConversion"/>
  </si>
  <si>
    <t>수련원 : 강당</t>
    <phoneticPr fontId="4" type="noConversion"/>
  </si>
  <si>
    <t>3회 * 33만원</t>
    <phoneticPr fontId="4" type="noConversion"/>
  </si>
  <si>
    <t>수련원 : 강의실</t>
    <phoneticPr fontId="4" type="noConversion"/>
  </si>
  <si>
    <t>2층 1회(23일 오후) * 10만원(청년&amp;청소년), 
1층 2회(23일 오후, 저녁) * 20만원(초등&amp;유치부) -&gt; 무료</t>
    <phoneticPr fontId="4" type="noConversion"/>
  </si>
  <si>
    <t>수련원 : 식비</t>
    <phoneticPr fontId="4" type="noConversion"/>
  </si>
  <si>
    <t>[성인 7천원(92명), 중,고등 6.5천원(15명), 초등 5.5천원(37명)] * 2식</t>
    <phoneticPr fontId="4" type="noConversion"/>
  </si>
  <si>
    <t>수영장 사용료</t>
    <phoneticPr fontId="4" type="noConversion"/>
  </si>
  <si>
    <t>성인 70명*1만원, 고등이하 46명*8천원, 평상 6개*7만원 : 116명 참석, 10% DC&amp;할인</t>
    <phoneticPr fontId="4" type="noConversion"/>
  </si>
  <si>
    <t>간식 및 상품, 준비물</t>
    <phoneticPr fontId="4" type="noConversion"/>
  </si>
  <si>
    <t xml:space="preserve">간식&amp;상품 및 프로그램 준비물 </t>
    <phoneticPr fontId="4" type="noConversion"/>
  </si>
  <si>
    <t>주일학교 도우미 수당</t>
    <phoneticPr fontId="4" type="noConversion"/>
  </si>
  <si>
    <t>7명 * 10만원</t>
    <phoneticPr fontId="4" type="noConversion"/>
  </si>
  <si>
    <t>보험료</t>
    <phoneticPr fontId="4" type="noConversion"/>
  </si>
  <si>
    <t>여행자 보험 (총:148명)</t>
    <phoneticPr fontId="4" type="noConversion"/>
  </si>
  <si>
    <t>마무리 회식 및 종평</t>
    <phoneticPr fontId="4" type="noConversion"/>
  </si>
  <si>
    <t xml:space="preserve"> 마무리 회식</t>
    <phoneticPr fontId="4" type="noConversion"/>
  </si>
  <si>
    <t>선물</t>
    <phoneticPr fontId="4" type="noConversion"/>
  </si>
  <si>
    <t>선물(회식 미참석 및 수련회 지원 성도)</t>
    <phoneticPr fontId="4" type="noConversion"/>
  </si>
  <si>
    <t>지출 계</t>
    <phoneticPr fontId="4" type="noConversion"/>
  </si>
  <si>
    <t>수입- 지출 차액</t>
    <phoneticPr fontId="4" type="noConversion"/>
  </si>
  <si>
    <t xml:space="preserve"> 차액은 재정위원장 확인 후 교회 통장으로 입금함</t>
    <phoneticPr fontId="4" type="noConversion"/>
  </si>
  <si>
    <t>안치현</t>
    <phoneticPr fontId="3" type="noConversion"/>
  </si>
  <si>
    <t>엔젤</t>
    <phoneticPr fontId="3" type="noConversion"/>
  </si>
  <si>
    <t>교회</t>
    <phoneticPr fontId="3" type="noConversion"/>
  </si>
  <si>
    <t>541124-1471913</t>
    <phoneticPr fontId="3" type="noConversion"/>
  </si>
  <si>
    <t>651023-2622517</t>
    <phoneticPr fontId="3" type="noConversion"/>
  </si>
  <si>
    <t>임병필</t>
    <phoneticPr fontId="3" type="noConversion"/>
  </si>
  <si>
    <t>임경빈</t>
    <phoneticPr fontId="3" type="noConversion"/>
  </si>
  <si>
    <t>620915-1457237</t>
    <phoneticPr fontId="3" type="noConversion"/>
  </si>
  <si>
    <t>기타</t>
    <phoneticPr fontId="3" type="noConversion"/>
  </si>
  <si>
    <t>황교현</t>
    <phoneticPr fontId="3" type="noConversion"/>
  </si>
  <si>
    <t>성인</t>
    <phoneticPr fontId="3" type="noConversion"/>
  </si>
  <si>
    <t>박종연</t>
    <phoneticPr fontId="3" type="noConversion"/>
  </si>
  <si>
    <t>장정일</t>
    <phoneticPr fontId="3" type="noConversion"/>
  </si>
  <si>
    <t>박정숙</t>
    <phoneticPr fontId="3" type="noConversion"/>
  </si>
  <si>
    <t>박우근</t>
    <phoneticPr fontId="3" type="noConversion"/>
  </si>
  <si>
    <t>불참</t>
    <phoneticPr fontId="3" type="noConversion"/>
  </si>
  <si>
    <t>-</t>
    <phoneticPr fontId="3" type="noConversion"/>
  </si>
  <si>
    <t>윤장우</t>
    <phoneticPr fontId="3" type="noConversion"/>
  </si>
  <si>
    <t>010101-3449321</t>
    <phoneticPr fontId="3" type="noConversion"/>
  </si>
  <si>
    <t>이의환</t>
    <phoneticPr fontId="3" type="noConversion"/>
  </si>
  <si>
    <t>일</t>
    <phoneticPr fontId="3" type="noConversion"/>
  </si>
  <si>
    <t>토</t>
    <phoneticPr fontId="3" type="noConversion"/>
  </si>
  <si>
    <t>19명</t>
    <phoneticPr fontId="3" type="noConversion"/>
  </si>
  <si>
    <t>5명</t>
    <phoneticPr fontId="3" type="noConversion"/>
  </si>
  <si>
    <t>6명</t>
    <phoneticPr fontId="3" type="noConversion"/>
  </si>
  <si>
    <t>7명</t>
    <phoneticPr fontId="3" type="noConversion"/>
  </si>
  <si>
    <t>82명</t>
    <phoneticPr fontId="3" type="noConversion"/>
  </si>
  <si>
    <t>89명</t>
    <phoneticPr fontId="3" type="noConversion"/>
  </si>
  <si>
    <t>문은주</t>
    <phoneticPr fontId="3" type="noConversion"/>
  </si>
  <si>
    <t>김진태</t>
    <phoneticPr fontId="3" type="noConversion"/>
  </si>
  <si>
    <t>무명</t>
    <phoneticPr fontId="3" type="noConversion"/>
  </si>
  <si>
    <t>250805-4271035</t>
    <phoneticPr fontId="3" type="noConversion"/>
  </si>
  <si>
    <t>750823-2933011</t>
    <phoneticPr fontId="3" type="noConversion"/>
  </si>
  <si>
    <t>080608-3933711</t>
    <phoneticPr fontId="3" type="noConversion"/>
  </si>
  <si>
    <t>660113-1058513</t>
    <phoneticPr fontId="3" type="noConversion"/>
  </si>
  <si>
    <t>660415-2840711</t>
    <phoneticPr fontId="3" type="noConversion"/>
  </si>
  <si>
    <t>870210-1055018</t>
    <phoneticPr fontId="3" type="noConversion"/>
  </si>
  <si>
    <t>181112-3180326</t>
    <phoneticPr fontId="3" type="noConversion"/>
  </si>
  <si>
    <t>950323-2404014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</si>
</sst>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u val="singleAccounting"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1" fontId="1" fillId="2" borderId="7" xfId="1" applyFont="1" applyFill="1" applyBorder="1" applyAlignment="1">
      <alignment horizontal="center" vertical="center" wrapText="1"/>
    </xf>
    <xf numFmtId="41" fontId="0" fillId="2" borderId="7" xfId="1" applyFont="1" applyFill="1" applyBorder="1" applyAlignment="1">
      <alignment horizontal="center" vertical="center"/>
    </xf>
    <xf numFmtId="41" fontId="0" fillId="2" borderId="5" xfId="1" applyFont="1" applyFill="1" applyBorder="1">
      <alignment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0" xfId="0" applyNumberFormat="1" applyFill="1">
      <alignment vertical="center"/>
    </xf>
    <xf numFmtId="0" fontId="2" fillId="0" borderId="0" xfId="0" applyFont="1">
      <alignment vertical="center"/>
    </xf>
    <xf numFmtId="41" fontId="0" fillId="0" borderId="0" xfId="1" applyFont="1">
      <alignment vertical="center"/>
    </xf>
    <xf numFmtId="0" fontId="2" fillId="2" borderId="0" xfId="0" applyFont="1" applyFill="1" applyAlignment="1">
      <alignment horizontal="center" vertical="center"/>
    </xf>
    <xf numFmtId="41" fontId="0" fillId="2" borderId="0" xfId="1" applyFont="1" applyFill="1">
      <alignment vertical="center"/>
    </xf>
    <xf numFmtId="41" fontId="1" fillId="2" borderId="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1" fontId="8" fillId="0" borderId="19" xfId="1" applyFont="1" applyBorder="1" applyAlignment="1">
      <alignment horizontal="center" vertical="center"/>
    </xf>
    <xf numFmtId="41" fontId="8" fillId="3" borderId="19" xfId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3" borderId="5" xfId="1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41" fontId="0" fillId="0" borderId="5" xfId="1" applyFont="1" applyFill="1" applyBorder="1">
      <alignment vertical="center"/>
    </xf>
    <xf numFmtId="0" fontId="8" fillId="0" borderId="24" xfId="0" applyFont="1" applyBorder="1" applyAlignment="1">
      <alignment horizontal="center" vertical="center"/>
    </xf>
    <xf numFmtId="41" fontId="8" fillId="0" borderId="24" xfId="1" applyFont="1" applyFill="1" applyBorder="1">
      <alignment vertical="center"/>
    </xf>
    <xf numFmtId="41" fontId="8" fillId="3" borderId="24" xfId="1" applyFont="1" applyFill="1" applyBorder="1">
      <alignment vertical="center"/>
    </xf>
    <xf numFmtId="41" fontId="8" fillId="0" borderId="24" xfId="1" applyFont="1" applyBorder="1">
      <alignment vertical="center"/>
    </xf>
    <xf numFmtId="0" fontId="0" fillId="0" borderId="25" xfId="0" applyBorder="1">
      <alignment vertical="center"/>
    </xf>
    <xf numFmtId="0" fontId="6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41" fontId="6" fillId="0" borderId="5" xfId="1" applyFont="1" applyFill="1" applyBorder="1">
      <alignment vertical="center"/>
    </xf>
    <xf numFmtId="41" fontId="6" fillId="3" borderId="5" xfId="1" applyFont="1" applyFill="1" applyBorder="1">
      <alignment vertical="center"/>
    </xf>
    <xf numFmtId="41" fontId="9" fillId="0" borderId="5" xfId="1" applyFont="1" applyFill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1" fontId="6" fillId="0" borderId="7" xfId="1" applyFont="1" applyFill="1" applyBorder="1">
      <alignment vertical="center"/>
    </xf>
    <xf numFmtId="41" fontId="6" fillId="3" borderId="7" xfId="1" applyFont="1" applyFill="1" applyBorder="1">
      <alignment vertical="center"/>
    </xf>
    <xf numFmtId="41" fontId="9" fillId="0" borderId="7" xfId="1" applyFont="1" applyFill="1" applyBorder="1">
      <alignment vertical="center"/>
    </xf>
    <xf numFmtId="0" fontId="6" fillId="0" borderId="27" xfId="0" applyFont="1" applyBorder="1" applyAlignment="1">
      <alignment horizontal="center" vertical="center"/>
    </xf>
    <xf numFmtId="41" fontId="10" fillId="0" borderId="29" xfId="1" applyFont="1" applyBorder="1">
      <alignment vertical="center"/>
    </xf>
    <xf numFmtId="41" fontId="10" fillId="3" borderId="29" xfId="1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2" fillId="2" borderId="0" xfId="0" applyFont="1" applyFill="1">
      <alignment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7" xfId="1" applyFont="1" applyFill="1" applyBorder="1" applyAlignment="1">
      <alignment horizontal="center" vertical="center"/>
    </xf>
    <xf numFmtId="41" fontId="0" fillId="2" borderId="9" xfId="1" applyFont="1" applyFill="1" applyBorder="1" applyAlignment="1">
      <alignment horizontal="center" vertical="center"/>
    </xf>
    <xf numFmtId="41" fontId="0" fillId="2" borderId="8" xfId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1" fontId="0" fillId="0" borderId="19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"/>
  <sheetViews>
    <sheetView tabSelected="1" topLeftCell="A81" zoomScale="115" zoomScaleNormal="115" workbookViewId="0">
      <selection activeCell="I92" sqref="I92"/>
    </sheetView>
  </sheetViews>
  <sheetFormatPr defaultRowHeight="16.5" x14ac:dyDescent="0.3"/>
  <cols>
    <col min="1" max="1" width="5.375" style="2" customWidth="1"/>
    <col min="2" max="2" width="12.5" style="5" customWidth="1"/>
    <col min="3" max="3" width="9.75" style="5" customWidth="1"/>
    <col min="4" max="4" width="12.5" style="5" customWidth="1"/>
    <col min="5" max="5" width="23.625" style="5" customWidth="1"/>
    <col min="6" max="6" width="11.625" style="5" customWidth="1"/>
    <col min="7" max="8" width="12" style="5" customWidth="1"/>
    <col min="9" max="9" width="29.5" style="5" customWidth="1"/>
    <col min="10" max="10" width="13.125" style="2" customWidth="1"/>
    <col min="11" max="11" width="11" style="29" bestFit="1" customWidth="1"/>
    <col min="12" max="16384" width="9" style="2"/>
  </cols>
  <sheetData>
    <row r="1" spans="2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270</v>
      </c>
      <c r="G1" s="1" t="s">
        <v>298</v>
      </c>
      <c r="H1" s="6" t="s">
        <v>299</v>
      </c>
      <c r="I1" s="6" t="s">
        <v>4</v>
      </c>
      <c r="J1" s="8" t="s">
        <v>254</v>
      </c>
      <c r="K1" s="30" t="s">
        <v>323</v>
      </c>
    </row>
    <row r="2" spans="2:11" x14ac:dyDescent="0.3">
      <c r="B2" s="86" t="s">
        <v>306</v>
      </c>
      <c r="C2" s="87"/>
      <c r="D2" s="88"/>
      <c r="E2" s="4" t="s">
        <v>307</v>
      </c>
      <c r="F2" s="4" t="s">
        <v>269</v>
      </c>
      <c r="G2" s="3" t="s">
        <v>9</v>
      </c>
      <c r="H2" s="3" t="s">
        <v>9</v>
      </c>
      <c r="I2" s="9" t="s">
        <v>309</v>
      </c>
      <c r="J2" s="21">
        <v>0</v>
      </c>
      <c r="K2" s="23">
        <v>0</v>
      </c>
    </row>
    <row r="3" spans="2:11" x14ac:dyDescent="0.3">
      <c r="B3" s="89"/>
      <c r="C3" s="90"/>
      <c r="D3" s="91"/>
      <c r="E3" s="4" t="s">
        <v>308</v>
      </c>
      <c r="F3" s="4" t="s">
        <v>269</v>
      </c>
      <c r="G3" s="3" t="s">
        <v>9</v>
      </c>
      <c r="H3" s="3" t="s">
        <v>9</v>
      </c>
      <c r="I3" s="9" t="s">
        <v>310</v>
      </c>
      <c r="J3" s="21">
        <v>0</v>
      </c>
      <c r="K3" s="23">
        <v>0</v>
      </c>
    </row>
    <row r="4" spans="2:11" ht="20.100000000000001" customHeight="1" x14ac:dyDescent="0.3">
      <c r="B4" s="79" t="s">
        <v>5</v>
      </c>
      <c r="C4" s="79" t="s">
        <v>6</v>
      </c>
      <c r="D4" s="79" t="s">
        <v>7</v>
      </c>
      <c r="E4" s="3" t="s">
        <v>8</v>
      </c>
      <c r="F4" s="4" t="s">
        <v>269</v>
      </c>
      <c r="G4" s="3" t="s">
        <v>9</v>
      </c>
      <c r="H4" s="3" t="s">
        <v>9</v>
      </c>
      <c r="I4" s="7" t="s">
        <v>174</v>
      </c>
      <c r="J4" s="67">
        <v>140000</v>
      </c>
      <c r="K4" s="23">
        <v>0</v>
      </c>
    </row>
    <row r="5" spans="2:11" ht="20.100000000000001" customHeight="1" x14ac:dyDescent="0.3">
      <c r="B5" s="80"/>
      <c r="C5" s="80"/>
      <c r="D5" s="80"/>
      <c r="E5" s="3" t="s">
        <v>10</v>
      </c>
      <c r="F5" s="4" t="s">
        <v>269</v>
      </c>
      <c r="G5" s="3" t="s">
        <v>9</v>
      </c>
      <c r="H5" s="3" t="s">
        <v>9</v>
      </c>
      <c r="I5" s="7" t="s">
        <v>175</v>
      </c>
      <c r="J5" s="68"/>
      <c r="K5" s="23">
        <v>0</v>
      </c>
    </row>
    <row r="6" spans="2:11" ht="20.100000000000001" customHeight="1" x14ac:dyDescent="0.3">
      <c r="B6" s="80"/>
      <c r="C6" s="80"/>
      <c r="D6" s="80"/>
      <c r="E6" s="3" t="s">
        <v>11</v>
      </c>
      <c r="F6" s="4"/>
      <c r="G6" s="4" t="s">
        <v>292</v>
      </c>
      <c r="H6" s="4" t="s">
        <v>292</v>
      </c>
      <c r="I6" s="7"/>
      <c r="J6" s="24"/>
      <c r="K6" s="23"/>
    </row>
    <row r="7" spans="2:11" ht="20.100000000000001" customHeight="1" x14ac:dyDescent="0.3">
      <c r="B7" s="80"/>
      <c r="C7" s="80"/>
      <c r="D7" s="80"/>
      <c r="E7" s="3" t="s">
        <v>12</v>
      </c>
      <c r="F7" s="4" t="s">
        <v>269</v>
      </c>
      <c r="G7" s="3" t="s">
        <v>9</v>
      </c>
      <c r="H7" s="3" t="s">
        <v>9</v>
      </c>
      <c r="I7" s="7" t="s">
        <v>176</v>
      </c>
      <c r="J7" s="67">
        <v>170000</v>
      </c>
      <c r="K7" s="67">
        <v>0</v>
      </c>
    </row>
    <row r="8" spans="2:11" ht="20.100000000000001" customHeight="1" x14ac:dyDescent="0.3">
      <c r="B8" s="80"/>
      <c r="C8" s="80"/>
      <c r="D8" s="80"/>
      <c r="E8" s="3" t="s">
        <v>13</v>
      </c>
      <c r="F8" s="4" t="s">
        <v>279</v>
      </c>
      <c r="G8" s="3" t="s">
        <v>9</v>
      </c>
      <c r="H8" s="3" t="s">
        <v>9</v>
      </c>
      <c r="I8" s="7" t="s">
        <v>177</v>
      </c>
      <c r="J8" s="69"/>
      <c r="K8" s="69"/>
    </row>
    <row r="9" spans="2:11" ht="20.100000000000001" customHeight="1" x14ac:dyDescent="0.3">
      <c r="B9" s="80"/>
      <c r="C9" s="80"/>
      <c r="D9" s="80"/>
      <c r="E9" s="3" t="s">
        <v>14</v>
      </c>
      <c r="F9" s="4" t="s">
        <v>279</v>
      </c>
      <c r="G9" s="3" t="s">
        <v>9</v>
      </c>
      <c r="H9" s="3" t="s">
        <v>9</v>
      </c>
      <c r="I9" s="7" t="s">
        <v>178</v>
      </c>
      <c r="J9" s="68"/>
      <c r="K9" s="68"/>
    </row>
    <row r="10" spans="2:11" ht="20.100000000000001" customHeight="1" x14ac:dyDescent="0.3">
      <c r="B10" s="80"/>
      <c r="C10" s="80"/>
      <c r="D10" s="80"/>
      <c r="E10" s="3" t="s">
        <v>15</v>
      </c>
      <c r="F10" s="4" t="s">
        <v>269</v>
      </c>
      <c r="G10" s="3" t="s">
        <v>9</v>
      </c>
      <c r="H10" s="3" t="s">
        <v>9</v>
      </c>
      <c r="I10" s="7" t="s">
        <v>179</v>
      </c>
      <c r="J10" s="67">
        <v>240000</v>
      </c>
      <c r="K10" s="67">
        <v>0</v>
      </c>
    </row>
    <row r="11" spans="2:11" ht="20.100000000000001" customHeight="1" x14ac:dyDescent="0.3">
      <c r="B11" s="80"/>
      <c r="C11" s="80"/>
      <c r="D11" s="80"/>
      <c r="E11" s="3" t="s">
        <v>16</v>
      </c>
      <c r="F11" s="4" t="s">
        <v>269</v>
      </c>
      <c r="G11" s="3" t="s">
        <v>9</v>
      </c>
      <c r="H11" s="3" t="s">
        <v>9</v>
      </c>
      <c r="I11" s="7" t="s">
        <v>180</v>
      </c>
      <c r="J11" s="69"/>
      <c r="K11" s="69"/>
    </row>
    <row r="12" spans="2:11" ht="20.100000000000001" customHeight="1" x14ac:dyDescent="0.3">
      <c r="B12" s="80"/>
      <c r="C12" s="80"/>
      <c r="D12" s="80"/>
      <c r="E12" s="3" t="s">
        <v>17</v>
      </c>
      <c r="F12" s="4" t="s">
        <v>279</v>
      </c>
      <c r="G12" s="3" t="s">
        <v>9</v>
      </c>
      <c r="H12" s="3" t="s">
        <v>9</v>
      </c>
      <c r="I12" s="7" t="s">
        <v>181</v>
      </c>
      <c r="J12" s="69"/>
      <c r="K12" s="69"/>
    </row>
    <row r="13" spans="2:11" ht="20.100000000000001" customHeight="1" x14ac:dyDescent="0.3">
      <c r="B13" s="80"/>
      <c r="C13" s="80"/>
      <c r="D13" s="80"/>
      <c r="E13" s="3" t="s">
        <v>18</v>
      </c>
      <c r="F13" s="4" t="s">
        <v>279</v>
      </c>
      <c r="G13" s="3" t="s">
        <v>9</v>
      </c>
      <c r="H13" s="3" t="s">
        <v>9</v>
      </c>
      <c r="I13" s="7" t="s">
        <v>182</v>
      </c>
      <c r="J13" s="68"/>
      <c r="K13" s="68"/>
    </row>
    <row r="14" spans="2:11" ht="20.100000000000001" customHeight="1" x14ac:dyDescent="0.3">
      <c r="B14" s="80"/>
      <c r="C14" s="80"/>
      <c r="D14" s="80"/>
      <c r="E14" s="3" t="s">
        <v>19</v>
      </c>
      <c r="F14" s="4" t="s">
        <v>269</v>
      </c>
      <c r="G14" s="4" t="s">
        <v>384</v>
      </c>
      <c r="H14" s="3" t="s">
        <v>9</v>
      </c>
      <c r="I14" s="9" t="s">
        <v>296</v>
      </c>
      <c r="J14" s="67"/>
      <c r="K14" s="23">
        <v>30000</v>
      </c>
    </row>
    <row r="15" spans="2:11" ht="20.100000000000001" customHeight="1" x14ac:dyDescent="0.3">
      <c r="B15" s="80"/>
      <c r="C15" s="80"/>
      <c r="D15" s="80"/>
      <c r="E15" s="3" t="s">
        <v>20</v>
      </c>
      <c r="F15" s="4" t="s">
        <v>281</v>
      </c>
      <c r="G15" s="4" t="s">
        <v>384</v>
      </c>
      <c r="H15" s="3" t="s">
        <v>9</v>
      </c>
      <c r="I15" s="9" t="s">
        <v>297</v>
      </c>
      <c r="J15" s="69"/>
      <c r="K15" s="23">
        <v>0</v>
      </c>
    </row>
    <row r="16" spans="2:11" ht="20.100000000000001" customHeight="1" x14ac:dyDescent="0.3">
      <c r="B16" s="80"/>
      <c r="C16" s="80"/>
      <c r="D16" s="80"/>
      <c r="E16" s="3" t="s">
        <v>21</v>
      </c>
      <c r="F16" s="4" t="s">
        <v>269</v>
      </c>
      <c r="G16" s="4" t="s">
        <v>384</v>
      </c>
      <c r="H16" s="3" t="s">
        <v>9</v>
      </c>
      <c r="I16" s="9" t="s">
        <v>295</v>
      </c>
      <c r="J16" s="68"/>
      <c r="K16" s="23">
        <v>30000</v>
      </c>
    </row>
    <row r="17" spans="2:11" ht="20.100000000000001" customHeight="1" x14ac:dyDescent="0.3">
      <c r="B17" s="80"/>
      <c r="C17" s="80"/>
      <c r="D17" s="80"/>
      <c r="E17" s="3" t="s">
        <v>23</v>
      </c>
      <c r="F17" s="4" t="s">
        <v>269</v>
      </c>
      <c r="G17" s="3" t="s">
        <v>9</v>
      </c>
      <c r="H17" s="3" t="s">
        <v>9</v>
      </c>
      <c r="I17" s="7" t="s">
        <v>236</v>
      </c>
      <c r="J17" s="67">
        <v>140000</v>
      </c>
      <c r="K17" s="23">
        <v>0</v>
      </c>
    </row>
    <row r="18" spans="2:11" ht="20.100000000000001" customHeight="1" x14ac:dyDescent="0.3">
      <c r="B18" s="80"/>
      <c r="C18" s="80"/>
      <c r="D18" s="80"/>
      <c r="E18" s="3" t="s">
        <v>24</v>
      </c>
      <c r="F18" s="4" t="s">
        <v>269</v>
      </c>
      <c r="G18" s="3" t="s">
        <v>9</v>
      </c>
      <c r="H18" s="3" t="s">
        <v>9</v>
      </c>
      <c r="I18" s="7" t="s">
        <v>237</v>
      </c>
      <c r="J18" s="69"/>
      <c r="K18" s="23">
        <v>0</v>
      </c>
    </row>
    <row r="19" spans="2:11" ht="20.100000000000001" customHeight="1" x14ac:dyDescent="0.3">
      <c r="B19" s="80"/>
      <c r="C19" s="80"/>
      <c r="D19" s="80"/>
      <c r="E19" s="3" t="s">
        <v>25</v>
      </c>
      <c r="F19" s="4" t="s">
        <v>280</v>
      </c>
      <c r="G19" s="3" t="s">
        <v>9</v>
      </c>
      <c r="H19" s="3" t="s">
        <v>9</v>
      </c>
      <c r="I19" s="9" t="s">
        <v>399</v>
      </c>
      <c r="J19" s="68"/>
      <c r="K19" s="23">
        <v>0</v>
      </c>
    </row>
    <row r="20" spans="2:11" ht="20.100000000000001" customHeight="1" x14ac:dyDescent="0.3">
      <c r="B20" s="80"/>
      <c r="C20" s="80"/>
      <c r="D20" s="80"/>
      <c r="E20" s="3" t="s">
        <v>26</v>
      </c>
      <c r="F20" s="4" t="s">
        <v>269</v>
      </c>
      <c r="G20" s="3" t="s">
        <v>9</v>
      </c>
      <c r="H20" s="3" t="s">
        <v>9</v>
      </c>
      <c r="I20" s="9" t="s">
        <v>293</v>
      </c>
      <c r="J20" s="67">
        <v>140000</v>
      </c>
      <c r="K20" s="23">
        <v>0</v>
      </c>
    </row>
    <row r="21" spans="2:11" ht="20.100000000000001" customHeight="1" x14ac:dyDescent="0.3">
      <c r="B21" s="80"/>
      <c r="C21" s="81"/>
      <c r="D21" s="81"/>
      <c r="E21" s="3" t="s">
        <v>27</v>
      </c>
      <c r="F21" s="4" t="s">
        <v>269</v>
      </c>
      <c r="G21" s="3" t="s">
        <v>9</v>
      </c>
      <c r="H21" s="3" t="s">
        <v>9</v>
      </c>
      <c r="I21" s="9" t="s">
        <v>294</v>
      </c>
      <c r="J21" s="68"/>
      <c r="K21" s="23">
        <v>0</v>
      </c>
    </row>
    <row r="22" spans="2:11" ht="20.100000000000001" customHeight="1" x14ac:dyDescent="0.3">
      <c r="B22" s="80"/>
      <c r="C22" s="79" t="s">
        <v>28</v>
      </c>
      <c r="D22" s="79" t="s">
        <v>29</v>
      </c>
      <c r="E22" s="3" t="s">
        <v>30</v>
      </c>
      <c r="F22" s="4" t="s">
        <v>269</v>
      </c>
      <c r="G22" s="3" t="s">
        <v>9</v>
      </c>
      <c r="H22" s="3" t="s">
        <v>9</v>
      </c>
      <c r="I22" s="7" t="s">
        <v>214</v>
      </c>
      <c r="J22" s="67">
        <v>240000</v>
      </c>
      <c r="K22" s="67">
        <v>0</v>
      </c>
    </row>
    <row r="23" spans="2:11" ht="20.100000000000001" customHeight="1" x14ac:dyDescent="0.3">
      <c r="B23" s="80"/>
      <c r="C23" s="80"/>
      <c r="D23" s="80"/>
      <c r="E23" s="3" t="s">
        <v>31</v>
      </c>
      <c r="F23" s="4" t="s">
        <v>269</v>
      </c>
      <c r="G23" s="3" t="s">
        <v>9</v>
      </c>
      <c r="H23" s="3" t="s">
        <v>9</v>
      </c>
      <c r="I23" s="7" t="s">
        <v>215</v>
      </c>
      <c r="J23" s="69"/>
      <c r="K23" s="69"/>
    </row>
    <row r="24" spans="2:11" ht="20.100000000000001" customHeight="1" x14ac:dyDescent="0.3">
      <c r="B24" s="80"/>
      <c r="C24" s="80"/>
      <c r="D24" s="80"/>
      <c r="E24" s="3" t="s">
        <v>32</v>
      </c>
      <c r="F24" s="4" t="s">
        <v>279</v>
      </c>
      <c r="G24" s="3" t="s">
        <v>9</v>
      </c>
      <c r="H24" s="3" t="s">
        <v>9</v>
      </c>
      <c r="I24" s="7" t="s">
        <v>216</v>
      </c>
      <c r="J24" s="69"/>
      <c r="K24" s="69"/>
    </row>
    <row r="25" spans="2:11" ht="20.100000000000001" customHeight="1" x14ac:dyDescent="0.3">
      <c r="B25" s="80"/>
      <c r="C25" s="80"/>
      <c r="D25" s="80"/>
      <c r="E25" s="3" t="s">
        <v>33</v>
      </c>
      <c r="F25" s="4" t="s">
        <v>279</v>
      </c>
      <c r="G25" s="3" t="s">
        <v>9</v>
      </c>
      <c r="H25" s="3" t="s">
        <v>9</v>
      </c>
      <c r="I25" s="7" t="s">
        <v>217</v>
      </c>
      <c r="J25" s="68"/>
      <c r="K25" s="68"/>
    </row>
    <row r="26" spans="2:11" ht="20.100000000000001" customHeight="1" x14ac:dyDescent="0.3">
      <c r="B26" s="80"/>
      <c r="C26" s="80"/>
      <c r="D26" s="80"/>
      <c r="E26" s="3" t="s">
        <v>34</v>
      </c>
      <c r="F26" s="4" t="s">
        <v>269</v>
      </c>
      <c r="G26" s="3" t="s">
        <v>9</v>
      </c>
      <c r="H26" s="3" t="s">
        <v>9</v>
      </c>
      <c r="I26" s="9" t="s">
        <v>300</v>
      </c>
      <c r="J26" s="24">
        <v>70000</v>
      </c>
      <c r="K26" s="23">
        <v>0</v>
      </c>
    </row>
    <row r="27" spans="2:11" ht="20.100000000000001" customHeight="1" x14ac:dyDescent="0.3">
      <c r="B27" s="80"/>
      <c r="C27" s="80"/>
      <c r="D27" s="80"/>
      <c r="E27" s="3" t="s">
        <v>35</v>
      </c>
      <c r="F27" s="4" t="s">
        <v>269</v>
      </c>
      <c r="G27" s="3" t="s">
        <v>9</v>
      </c>
      <c r="H27" s="3" t="s">
        <v>9</v>
      </c>
      <c r="I27" s="7" t="s">
        <v>218</v>
      </c>
      <c r="J27" s="67">
        <v>70000</v>
      </c>
      <c r="K27" s="67">
        <v>0</v>
      </c>
    </row>
    <row r="28" spans="2:11" ht="20.100000000000001" customHeight="1" x14ac:dyDescent="0.3">
      <c r="B28" s="80"/>
      <c r="C28" s="80"/>
      <c r="D28" s="80"/>
      <c r="E28" s="3" t="s">
        <v>36</v>
      </c>
      <c r="F28" s="4" t="s">
        <v>281</v>
      </c>
      <c r="G28" s="3" t="s">
        <v>9</v>
      </c>
      <c r="H28" s="3" t="s">
        <v>9</v>
      </c>
      <c r="I28" s="7" t="s">
        <v>219</v>
      </c>
      <c r="J28" s="68"/>
      <c r="K28" s="68"/>
    </row>
    <row r="29" spans="2:11" ht="20.100000000000001" customHeight="1" x14ac:dyDescent="0.3">
      <c r="B29" s="80"/>
      <c r="C29" s="80"/>
      <c r="D29" s="80"/>
      <c r="E29" s="3" t="s">
        <v>37</v>
      </c>
      <c r="F29" s="4" t="s">
        <v>269</v>
      </c>
      <c r="G29" s="3" t="s">
        <v>9</v>
      </c>
      <c r="H29" s="3" t="s">
        <v>9</v>
      </c>
      <c r="I29" s="7" t="s">
        <v>235</v>
      </c>
      <c r="J29" s="24">
        <v>70000</v>
      </c>
      <c r="K29" s="23">
        <v>0</v>
      </c>
    </row>
    <row r="30" spans="2:11" ht="20.100000000000001" customHeight="1" x14ac:dyDescent="0.3">
      <c r="B30" s="80"/>
      <c r="C30" s="80"/>
      <c r="D30" s="80"/>
      <c r="E30" s="3" t="s">
        <v>38</v>
      </c>
      <c r="F30" s="4" t="s">
        <v>269</v>
      </c>
      <c r="G30" s="3" t="s">
        <v>9</v>
      </c>
      <c r="H30" s="3" t="s">
        <v>9</v>
      </c>
      <c r="I30" s="9" t="s">
        <v>404</v>
      </c>
      <c r="J30" s="67">
        <v>120000</v>
      </c>
      <c r="K30" s="67">
        <v>0</v>
      </c>
    </row>
    <row r="31" spans="2:11" ht="20.100000000000001" customHeight="1" x14ac:dyDescent="0.3">
      <c r="B31" s="80"/>
      <c r="C31" s="80"/>
      <c r="D31" s="80"/>
      <c r="E31" s="3" t="s">
        <v>39</v>
      </c>
      <c r="F31" s="4" t="s">
        <v>279</v>
      </c>
      <c r="G31" s="3" t="s">
        <v>9</v>
      </c>
      <c r="H31" s="3" t="s">
        <v>9</v>
      </c>
      <c r="I31" s="9" t="s">
        <v>405</v>
      </c>
      <c r="J31" s="68"/>
      <c r="K31" s="68"/>
    </row>
    <row r="32" spans="2:11" ht="20.100000000000001" customHeight="1" x14ac:dyDescent="0.3">
      <c r="B32" s="80"/>
      <c r="C32" s="80"/>
      <c r="D32" s="80"/>
      <c r="E32" s="3" t="s">
        <v>40</v>
      </c>
      <c r="F32" s="4" t="s">
        <v>324</v>
      </c>
      <c r="G32" s="3" t="s">
        <v>9</v>
      </c>
      <c r="H32" s="3" t="s">
        <v>9</v>
      </c>
      <c r="I32" s="7" t="s">
        <v>230</v>
      </c>
      <c r="J32" s="67">
        <v>240000</v>
      </c>
      <c r="K32" s="67"/>
    </row>
    <row r="33" spans="2:11" ht="20.100000000000001" customHeight="1" x14ac:dyDescent="0.3">
      <c r="B33" s="80"/>
      <c r="C33" s="80"/>
      <c r="D33" s="80"/>
      <c r="E33" s="3" t="s">
        <v>41</v>
      </c>
      <c r="F33" s="4" t="s">
        <v>324</v>
      </c>
      <c r="G33" s="3" t="s">
        <v>9</v>
      </c>
      <c r="H33" s="3" t="s">
        <v>9</v>
      </c>
      <c r="I33" s="7" t="s">
        <v>227</v>
      </c>
      <c r="J33" s="69"/>
      <c r="K33" s="69"/>
    </row>
    <row r="34" spans="2:11" ht="20.100000000000001" customHeight="1" x14ac:dyDescent="0.3">
      <c r="B34" s="80"/>
      <c r="C34" s="80"/>
      <c r="D34" s="80"/>
      <c r="E34" s="3" t="s">
        <v>42</v>
      </c>
      <c r="F34" s="4" t="s">
        <v>325</v>
      </c>
      <c r="G34" s="3" t="s">
        <v>9</v>
      </c>
      <c r="H34" s="3" t="s">
        <v>9</v>
      </c>
      <c r="I34" s="7" t="s">
        <v>228</v>
      </c>
      <c r="J34" s="69"/>
      <c r="K34" s="69"/>
    </row>
    <row r="35" spans="2:11" ht="20.100000000000001" customHeight="1" x14ac:dyDescent="0.3">
      <c r="B35" s="80"/>
      <c r="C35" s="81"/>
      <c r="D35" s="81"/>
      <c r="E35" s="3" t="s">
        <v>43</v>
      </c>
      <c r="F35" s="4" t="s">
        <v>325</v>
      </c>
      <c r="G35" s="3" t="s">
        <v>9</v>
      </c>
      <c r="H35" s="3" t="s">
        <v>9</v>
      </c>
      <c r="I35" s="7" t="s">
        <v>229</v>
      </c>
      <c r="J35" s="68"/>
      <c r="K35" s="68"/>
    </row>
    <row r="36" spans="2:11" ht="20.100000000000001" customHeight="1" x14ac:dyDescent="0.3">
      <c r="B36" s="80"/>
      <c r="C36" s="79" t="s">
        <v>44</v>
      </c>
      <c r="D36" s="79" t="s">
        <v>45</v>
      </c>
      <c r="E36" s="3" t="s">
        <v>46</v>
      </c>
      <c r="F36" s="4" t="s">
        <v>269</v>
      </c>
      <c r="G36" s="3" t="s">
        <v>9</v>
      </c>
      <c r="H36" s="3" t="s">
        <v>9</v>
      </c>
      <c r="I36" s="7" t="s">
        <v>238</v>
      </c>
      <c r="J36" s="67">
        <v>140000</v>
      </c>
      <c r="K36" s="67"/>
    </row>
    <row r="37" spans="2:11" ht="20.100000000000001" customHeight="1" x14ac:dyDescent="0.3">
      <c r="B37" s="80"/>
      <c r="C37" s="80"/>
      <c r="D37" s="80"/>
      <c r="E37" s="3" t="s">
        <v>47</v>
      </c>
      <c r="F37" s="4" t="s">
        <v>269</v>
      </c>
      <c r="G37" s="3" t="s">
        <v>9</v>
      </c>
      <c r="H37" s="3" t="s">
        <v>9</v>
      </c>
      <c r="I37" s="7" t="s">
        <v>239</v>
      </c>
      <c r="J37" s="68"/>
      <c r="K37" s="68"/>
    </row>
    <row r="38" spans="2:11" ht="20.100000000000001" customHeight="1" x14ac:dyDescent="0.3">
      <c r="B38" s="80"/>
      <c r="C38" s="80"/>
      <c r="D38" s="80"/>
      <c r="E38" s="3" t="s">
        <v>48</v>
      </c>
      <c r="F38" s="4" t="s">
        <v>269</v>
      </c>
      <c r="G38" s="3" t="s">
        <v>9</v>
      </c>
      <c r="H38" s="3" t="s">
        <v>9</v>
      </c>
      <c r="I38" s="9" t="s">
        <v>400</v>
      </c>
      <c r="J38" s="67">
        <v>140000</v>
      </c>
      <c r="K38" s="67"/>
    </row>
    <row r="39" spans="2:11" ht="20.100000000000001" customHeight="1" x14ac:dyDescent="0.3">
      <c r="B39" s="80"/>
      <c r="C39" s="80"/>
      <c r="D39" s="80"/>
      <c r="E39" s="3" t="s">
        <v>49</v>
      </c>
      <c r="F39" s="4" t="s">
        <v>282</v>
      </c>
      <c r="G39" s="3" t="s">
        <v>9</v>
      </c>
      <c r="H39" s="3" t="s">
        <v>9</v>
      </c>
      <c r="I39" s="9" t="s">
        <v>401</v>
      </c>
      <c r="J39" s="68"/>
      <c r="K39" s="68"/>
    </row>
    <row r="40" spans="2:11" ht="20.100000000000001" customHeight="1" x14ac:dyDescent="0.3">
      <c r="B40" s="80"/>
      <c r="C40" s="80"/>
      <c r="D40" s="80"/>
      <c r="E40" s="3" t="s">
        <v>50</v>
      </c>
      <c r="F40" s="4"/>
      <c r="G40" s="4" t="s">
        <v>292</v>
      </c>
      <c r="H40" s="4" t="s">
        <v>168</v>
      </c>
      <c r="I40" s="7"/>
      <c r="J40" s="24"/>
      <c r="K40" s="23"/>
    </row>
    <row r="41" spans="2:11" ht="20.100000000000001" customHeight="1" x14ac:dyDescent="0.3">
      <c r="B41" s="80"/>
      <c r="C41" s="80"/>
      <c r="D41" s="80"/>
      <c r="E41" s="3" t="s">
        <v>51</v>
      </c>
      <c r="F41" s="4"/>
      <c r="G41" s="4" t="s">
        <v>292</v>
      </c>
      <c r="H41" s="4" t="s">
        <v>168</v>
      </c>
      <c r="I41" s="7"/>
      <c r="J41" s="24"/>
      <c r="K41" s="23"/>
    </row>
    <row r="42" spans="2:11" ht="20.100000000000001" customHeight="1" x14ac:dyDescent="0.3">
      <c r="B42" s="80"/>
      <c r="C42" s="80"/>
      <c r="D42" s="80"/>
      <c r="E42" s="3" t="s">
        <v>52</v>
      </c>
      <c r="F42" s="4" t="s">
        <v>269</v>
      </c>
      <c r="G42" s="3" t="s">
        <v>9</v>
      </c>
      <c r="H42" s="3" t="s">
        <v>9</v>
      </c>
      <c r="I42" s="9" t="s">
        <v>255</v>
      </c>
      <c r="J42" s="67">
        <v>140000</v>
      </c>
      <c r="K42" s="67"/>
    </row>
    <row r="43" spans="2:11" ht="20.100000000000001" customHeight="1" x14ac:dyDescent="0.3">
      <c r="B43" s="80"/>
      <c r="C43" s="80"/>
      <c r="D43" s="80"/>
      <c r="E43" s="3" t="s">
        <v>53</v>
      </c>
      <c r="F43" s="4" t="s">
        <v>269</v>
      </c>
      <c r="G43" s="3" t="s">
        <v>9</v>
      </c>
      <c r="H43" s="3" t="s">
        <v>9</v>
      </c>
      <c r="I43" s="10" t="s">
        <v>256</v>
      </c>
      <c r="J43" s="69"/>
      <c r="K43" s="69"/>
    </row>
    <row r="44" spans="2:11" ht="20.100000000000001" customHeight="1" x14ac:dyDescent="0.3">
      <c r="B44" s="80"/>
      <c r="C44" s="80"/>
      <c r="D44" s="80"/>
      <c r="E44" s="3" t="s">
        <v>54</v>
      </c>
      <c r="F44" s="4" t="s">
        <v>281</v>
      </c>
      <c r="G44" s="3" t="s">
        <v>9</v>
      </c>
      <c r="H44" s="3" t="s">
        <v>9</v>
      </c>
      <c r="I44" s="10" t="s">
        <v>257</v>
      </c>
      <c r="J44" s="69"/>
      <c r="K44" s="69"/>
    </row>
    <row r="45" spans="2:11" ht="20.100000000000001" customHeight="1" x14ac:dyDescent="0.3">
      <c r="B45" s="80"/>
      <c r="C45" s="80"/>
      <c r="D45" s="80"/>
      <c r="E45" s="3" t="s">
        <v>55</v>
      </c>
      <c r="F45" s="4" t="s">
        <v>281</v>
      </c>
      <c r="G45" s="3" t="s">
        <v>9</v>
      </c>
      <c r="H45" s="3" t="s">
        <v>9</v>
      </c>
      <c r="I45" s="10" t="s">
        <v>258</v>
      </c>
      <c r="J45" s="68"/>
      <c r="K45" s="68"/>
    </row>
    <row r="46" spans="2:11" ht="20.100000000000001" customHeight="1" x14ac:dyDescent="0.3">
      <c r="B46" s="80"/>
      <c r="C46" s="80"/>
      <c r="D46" s="80"/>
      <c r="E46" s="3" t="s">
        <v>56</v>
      </c>
      <c r="F46" s="4" t="s">
        <v>269</v>
      </c>
      <c r="G46" s="3" t="s">
        <v>9</v>
      </c>
      <c r="H46" s="3" t="s">
        <v>9</v>
      </c>
      <c r="I46" s="10" t="s">
        <v>259</v>
      </c>
      <c r="J46" s="67">
        <v>140000</v>
      </c>
      <c r="K46" s="67"/>
    </row>
    <row r="47" spans="2:11" ht="20.100000000000001" customHeight="1" x14ac:dyDescent="0.3">
      <c r="B47" s="80"/>
      <c r="C47" s="80"/>
      <c r="D47" s="80"/>
      <c r="E47" s="3" t="s">
        <v>57</v>
      </c>
      <c r="F47" s="4" t="s">
        <v>282</v>
      </c>
      <c r="G47" s="3" t="s">
        <v>9</v>
      </c>
      <c r="H47" s="3" t="s">
        <v>9</v>
      </c>
      <c r="I47" s="10" t="s">
        <v>260</v>
      </c>
      <c r="J47" s="68"/>
      <c r="K47" s="68"/>
    </row>
    <row r="48" spans="2:11" ht="20.100000000000001" customHeight="1" x14ac:dyDescent="0.3">
      <c r="B48" s="80"/>
      <c r="C48" s="80"/>
      <c r="D48" s="80"/>
      <c r="E48" s="3" t="s">
        <v>58</v>
      </c>
      <c r="F48" s="4" t="s">
        <v>269</v>
      </c>
      <c r="G48" s="3" t="s">
        <v>9</v>
      </c>
      <c r="H48" s="3" t="s">
        <v>9</v>
      </c>
      <c r="I48" s="10" t="s">
        <v>261</v>
      </c>
      <c r="J48" s="67">
        <v>140000</v>
      </c>
      <c r="K48" s="67"/>
    </row>
    <row r="49" spans="2:11" ht="20.100000000000001" customHeight="1" x14ac:dyDescent="0.3">
      <c r="B49" s="80"/>
      <c r="C49" s="80"/>
      <c r="D49" s="80"/>
      <c r="E49" s="3" t="s">
        <v>59</v>
      </c>
      <c r="F49" s="4" t="s">
        <v>269</v>
      </c>
      <c r="G49" s="3" t="s">
        <v>9</v>
      </c>
      <c r="H49" s="3" t="s">
        <v>9</v>
      </c>
      <c r="I49" s="10" t="s">
        <v>262</v>
      </c>
      <c r="J49" s="68"/>
      <c r="K49" s="68"/>
    </row>
    <row r="50" spans="2:11" ht="20.100000000000001" customHeight="1" x14ac:dyDescent="0.3">
      <c r="B50" s="80"/>
      <c r="C50" s="80"/>
      <c r="D50" s="80"/>
      <c r="E50" s="3" t="s">
        <v>60</v>
      </c>
      <c r="F50" s="3"/>
      <c r="G50" s="4" t="s">
        <v>168</v>
      </c>
      <c r="H50" s="4" t="s">
        <v>168</v>
      </c>
      <c r="I50" s="7"/>
      <c r="J50" s="24"/>
      <c r="K50" s="23"/>
    </row>
    <row r="51" spans="2:11" ht="20.100000000000001" customHeight="1" x14ac:dyDescent="0.3">
      <c r="B51" s="80"/>
      <c r="C51" s="80"/>
      <c r="D51" s="80"/>
      <c r="E51" s="3" t="s">
        <v>61</v>
      </c>
      <c r="F51" s="3"/>
      <c r="G51" s="4" t="s">
        <v>168</v>
      </c>
      <c r="H51" s="4" t="s">
        <v>168</v>
      </c>
      <c r="I51" s="7"/>
      <c r="J51" s="24"/>
      <c r="K51" s="23"/>
    </row>
    <row r="52" spans="2:11" ht="20.100000000000001" customHeight="1" x14ac:dyDescent="0.3">
      <c r="B52" s="80"/>
      <c r="C52" s="81"/>
      <c r="D52" s="81"/>
      <c r="E52" s="3" t="s">
        <v>62</v>
      </c>
      <c r="F52" s="3"/>
      <c r="G52" s="4" t="s">
        <v>168</v>
      </c>
      <c r="H52" s="4" t="s">
        <v>168</v>
      </c>
      <c r="I52" s="7"/>
      <c r="J52" s="24"/>
      <c r="K52" s="23"/>
    </row>
    <row r="53" spans="2:11" ht="20.100000000000001" customHeight="1" x14ac:dyDescent="0.3">
      <c r="B53" s="80"/>
      <c r="C53" s="79" t="s">
        <v>63</v>
      </c>
      <c r="D53" s="79" t="s">
        <v>64</v>
      </c>
      <c r="E53" s="3" t="s">
        <v>65</v>
      </c>
      <c r="F53" s="4" t="s">
        <v>269</v>
      </c>
      <c r="G53" s="3" t="s">
        <v>9</v>
      </c>
      <c r="H53" s="3" t="s">
        <v>9</v>
      </c>
      <c r="I53" s="7" t="s">
        <v>220</v>
      </c>
      <c r="J53" s="67">
        <v>300000</v>
      </c>
      <c r="K53" s="67"/>
    </row>
    <row r="54" spans="2:11" ht="20.100000000000001" customHeight="1" x14ac:dyDescent="0.3">
      <c r="B54" s="80"/>
      <c r="C54" s="80"/>
      <c r="D54" s="80"/>
      <c r="E54" s="3" t="s">
        <v>66</v>
      </c>
      <c r="F54" s="4" t="s">
        <v>269</v>
      </c>
      <c r="G54" s="3" t="s">
        <v>9</v>
      </c>
      <c r="H54" s="3" t="s">
        <v>9</v>
      </c>
      <c r="I54" s="7" t="s">
        <v>221</v>
      </c>
      <c r="J54" s="69"/>
      <c r="K54" s="69"/>
    </row>
    <row r="55" spans="2:11" ht="20.100000000000001" customHeight="1" x14ac:dyDescent="0.3">
      <c r="B55" s="80"/>
      <c r="C55" s="80"/>
      <c r="D55" s="80"/>
      <c r="E55" s="4" t="s">
        <v>157</v>
      </c>
      <c r="F55" s="4" t="s">
        <v>269</v>
      </c>
      <c r="G55" s="3" t="s">
        <v>9</v>
      </c>
      <c r="H55" s="3" t="s">
        <v>9</v>
      </c>
      <c r="I55" s="7" t="s">
        <v>222</v>
      </c>
      <c r="J55" s="69"/>
      <c r="K55" s="69"/>
    </row>
    <row r="56" spans="2:11" ht="20.100000000000001" customHeight="1" x14ac:dyDescent="0.3">
      <c r="B56" s="80"/>
      <c r="C56" s="80"/>
      <c r="D56" s="80"/>
      <c r="E56" s="4" t="s">
        <v>158</v>
      </c>
      <c r="F56" s="4" t="s">
        <v>282</v>
      </c>
      <c r="G56" s="3" t="s">
        <v>9</v>
      </c>
      <c r="H56" s="3" t="s">
        <v>9</v>
      </c>
      <c r="I56" s="7" t="s">
        <v>223</v>
      </c>
      <c r="J56" s="69"/>
      <c r="K56" s="69"/>
    </row>
    <row r="57" spans="2:11" ht="20.100000000000001" customHeight="1" x14ac:dyDescent="0.3">
      <c r="B57" s="80"/>
      <c r="C57" s="80"/>
      <c r="D57" s="80"/>
      <c r="E57" s="4" t="s">
        <v>159</v>
      </c>
      <c r="F57" s="4" t="s">
        <v>282</v>
      </c>
      <c r="G57" s="3" t="s">
        <v>9</v>
      </c>
      <c r="H57" s="3" t="s">
        <v>9</v>
      </c>
      <c r="I57" s="7" t="s">
        <v>224</v>
      </c>
      <c r="J57" s="68"/>
      <c r="K57" s="68"/>
    </row>
    <row r="58" spans="2:11" ht="20.100000000000001" customHeight="1" x14ac:dyDescent="0.3">
      <c r="B58" s="80"/>
      <c r="C58" s="80"/>
      <c r="D58" s="80"/>
      <c r="E58" s="3" t="s">
        <v>67</v>
      </c>
      <c r="F58" s="4" t="s">
        <v>269</v>
      </c>
      <c r="G58" s="3" t="s">
        <v>9</v>
      </c>
      <c r="H58" s="3" t="s">
        <v>9</v>
      </c>
      <c r="I58" s="7" t="s">
        <v>225</v>
      </c>
      <c r="J58" s="67">
        <v>140000</v>
      </c>
      <c r="K58" s="23"/>
    </row>
    <row r="59" spans="2:11" ht="20.100000000000001" customHeight="1" x14ac:dyDescent="0.3">
      <c r="B59" s="80"/>
      <c r="C59" s="80"/>
      <c r="D59" s="80"/>
      <c r="E59" s="3" t="s">
        <v>68</v>
      </c>
      <c r="F59" s="4" t="s">
        <v>269</v>
      </c>
      <c r="G59" s="3" t="s">
        <v>9</v>
      </c>
      <c r="H59" s="3" t="s">
        <v>9</v>
      </c>
      <c r="I59" s="7" t="s">
        <v>226</v>
      </c>
      <c r="J59" s="68"/>
      <c r="K59" s="23"/>
    </row>
    <row r="60" spans="2:11" ht="20.100000000000001" customHeight="1" x14ac:dyDescent="0.3">
      <c r="B60" s="80"/>
      <c r="C60" s="80"/>
      <c r="D60" s="80"/>
      <c r="E60" s="3" t="s">
        <v>69</v>
      </c>
      <c r="F60" s="4" t="s">
        <v>269</v>
      </c>
      <c r="G60" s="4" t="s">
        <v>384</v>
      </c>
      <c r="H60" s="3" t="s">
        <v>9</v>
      </c>
      <c r="I60" s="7"/>
      <c r="J60" s="67">
        <v>90000</v>
      </c>
      <c r="K60" s="23"/>
    </row>
    <row r="61" spans="2:11" ht="20.100000000000001" customHeight="1" x14ac:dyDescent="0.3">
      <c r="B61" s="80"/>
      <c r="C61" s="80"/>
      <c r="D61" s="80"/>
      <c r="E61" s="3" t="s">
        <v>70</v>
      </c>
      <c r="F61" s="4" t="s">
        <v>269</v>
      </c>
      <c r="G61" s="4" t="s">
        <v>384</v>
      </c>
      <c r="H61" s="3" t="s">
        <v>9</v>
      </c>
      <c r="I61" s="7"/>
      <c r="J61" s="69"/>
      <c r="K61" s="23"/>
    </row>
    <row r="62" spans="2:11" ht="20.100000000000001" customHeight="1" x14ac:dyDescent="0.3">
      <c r="B62" s="80"/>
      <c r="C62" s="80"/>
      <c r="D62" s="80"/>
      <c r="E62" s="4" t="s">
        <v>160</v>
      </c>
      <c r="F62" s="4" t="s">
        <v>282</v>
      </c>
      <c r="G62" s="4" t="s">
        <v>384</v>
      </c>
      <c r="H62" s="3" t="s">
        <v>9</v>
      </c>
      <c r="I62" s="7"/>
      <c r="J62" s="68"/>
      <c r="K62" s="23"/>
    </row>
    <row r="63" spans="2:11" ht="20.100000000000001" customHeight="1" x14ac:dyDescent="0.3">
      <c r="B63" s="80"/>
      <c r="C63" s="80"/>
      <c r="D63" s="80"/>
      <c r="E63" s="3" t="s">
        <v>71</v>
      </c>
      <c r="F63" s="4"/>
      <c r="G63" s="4" t="s">
        <v>253</v>
      </c>
      <c r="H63" s="4" t="s">
        <v>253</v>
      </c>
      <c r="I63" s="7"/>
      <c r="J63" s="24"/>
      <c r="K63" s="23"/>
    </row>
    <row r="64" spans="2:11" ht="20.100000000000001" customHeight="1" x14ac:dyDescent="0.3">
      <c r="B64" s="80"/>
      <c r="C64" s="80"/>
      <c r="D64" s="80"/>
      <c r="E64" s="4" t="s">
        <v>165</v>
      </c>
      <c r="F64" s="4"/>
      <c r="G64" s="4" t="s">
        <v>253</v>
      </c>
      <c r="H64" s="4" t="s">
        <v>253</v>
      </c>
      <c r="I64" s="7"/>
      <c r="J64" s="24"/>
      <c r="K64" s="23"/>
    </row>
    <row r="65" spans="2:11" ht="20.100000000000001" customHeight="1" x14ac:dyDescent="0.3">
      <c r="B65" s="80"/>
      <c r="C65" s="80"/>
      <c r="D65" s="80"/>
      <c r="E65" s="4" t="s">
        <v>166</v>
      </c>
      <c r="F65" s="4"/>
      <c r="G65" s="4" t="s">
        <v>253</v>
      </c>
      <c r="H65" s="4" t="s">
        <v>253</v>
      </c>
      <c r="I65" s="7"/>
      <c r="J65" s="24"/>
      <c r="K65" s="23"/>
    </row>
    <row r="66" spans="2:11" ht="20.100000000000001" customHeight="1" x14ac:dyDescent="0.3">
      <c r="B66" s="80"/>
      <c r="C66" s="80"/>
      <c r="D66" s="80"/>
      <c r="E66" s="4" t="s">
        <v>167</v>
      </c>
      <c r="F66" s="4"/>
      <c r="G66" s="4" t="s">
        <v>253</v>
      </c>
      <c r="H66" s="4" t="s">
        <v>253</v>
      </c>
      <c r="I66" s="7"/>
      <c r="J66" s="24"/>
      <c r="K66" s="23"/>
    </row>
    <row r="67" spans="2:11" ht="20.100000000000001" customHeight="1" x14ac:dyDescent="0.3">
      <c r="B67" s="80"/>
      <c r="C67" s="80"/>
      <c r="D67" s="80"/>
      <c r="E67" s="3" t="s">
        <v>72</v>
      </c>
      <c r="F67" s="4"/>
      <c r="G67" s="3" t="s">
        <v>22</v>
      </c>
      <c r="H67" s="3" t="s">
        <v>22</v>
      </c>
      <c r="I67" s="7"/>
      <c r="J67" s="24"/>
      <c r="K67" s="23"/>
    </row>
    <row r="68" spans="2:11" ht="20.100000000000001" customHeight="1" x14ac:dyDescent="0.3">
      <c r="B68" s="80"/>
      <c r="C68" s="80"/>
      <c r="D68" s="80"/>
      <c r="E68" s="4" t="s">
        <v>161</v>
      </c>
      <c r="F68" s="4"/>
      <c r="G68" s="3" t="s">
        <v>22</v>
      </c>
      <c r="H68" s="3" t="s">
        <v>22</v>
      </c>
      <c r="I68" s="7"/>
      <c r="J68" s="24"/>
      <c r="K68" s="23"/>
    </row>
    <row r="69" spans="2:11" ht="20.100000000000001" customHeight="1" x14ac:dyDescent="0.3">
      <c r="B69" s="80"/>
      <c r="C69" s="80"/>
      <c r="D69" s="80"/>
      <c r="E69" s="4" t="s">
        <v>162</v>
      </c>
      <c r="F69" s="4" t="s">
        <v>325</v>
      </c>
      <c r="G69" s="3" t="s">
        <v>22</v>
      </c>
      <c r="H69" s="3" t="s">
        <v>22</v>
      </c>
      <c r="I69" s="7"/>
      <c r="J69" s="24"/>
      <c r="K69" s="23"/>
    </row>
    <row r="70" spans="2:11" ht="20.100000000000001" customHeight="1" x14ac:dyDescent="0.3">
      <c r="B70" s="80"/>
      <c r="C70" s="80"/>
      <c r="D70" s="80"/>
      <c r="E70" s="4" t="s">
        <v>163</v>
      </c>
      <c r="F70" s="4" t="s">
        <v>325</v>
      </c>
      <c r="G70" s="3" t="s">
        <v>22</v>
      </c>
      <c r="H70" s="3" t="s">
        <v>22</v>
      </c>
      <c r="I70" s="7"/>
      <c r="J70" s="24"/>
      <c r="K70" s="23"/>
    </row>
    <row r="71" spans="2:11" ht="20.100000000000001" customHeight="1" x14ac:dyDescent="0.3">
      <c r="B71" s="80"/>
      <c r="C71" s="80"/>
      <c r="D71" s="80"/>
      <c r="E71" s="3" t="s">
        <v>73</v>
      </c>
      <c r="F71" s="3"/>
      <c r="G71" s="3" t="s">
        <v>74</v>
      </c>
      <c r="H71" s="3" t="s">
        <v>74</v>
      </c>
      <c r="I71" s="7"/>
      <c r="J71" s="24"/>
      <c r="K71" s="23"/>
    </row>
    <row r="72" spans="2:11" ht="20.100000000000001" customHeight="1" x14ac:dyDescent="0.3">
      <c r="B72" s="80"/>
      <c r="C72" s="80"/>
      <c r="D72" s="80"/>
      <c r="E72" s="3" t="s">
        <v>75</v>
      </c>
      <c r="F72" s="3"/>
      <c r="G72" s="3" t="s">
        <v>74</v>
      </c>
      <c r="H72" s="3" t="s">
        <v>74</v>
      </c>
      <c r="I72" s="7"/>
      <c r="J72" s="24"/>
      <c r="K72" s="23"/>
    </row>
    <row r="73" spans="2:11" ht="20.100000000000001" customHeight="1" x14ac:dyDescent="0.3">
      <c r="B73" s="81"/>
      <c r="C73" s="81"/>
      <c r="D73" s="81"/>
      <c r="E73" s="3" t="s">
        <v>76</v>
      </c>
      <c r="F73" s="3"/>
      <c r="G73" s="3" t="s">
        <v>22</v>
      </c>
      <c r="H73" s="3" t="s">
        <v>22</v>
      </c>
      <c r="I73" s="7"/>
      <c r="J73" s="24"/>
      <c r="K73" s="23"/>
    </row>
    <row r="74" spans="2:11" ht="20.100000000000001" customHeight="1" x14ac:dyDescent="0.3">
      <c r="B74" s="79" t="s">
        <v>77</v>
      </c>
      <c r="C74" s="79" t="s">
        <v>78</v>
      </c>
      <c r="D74" s="79" t="s">
        <v>79</v>
      </c>
      <c r="E74" s="3" t="s">
        <v>80</v>
      </c>
      <c r="F74" s="4" t="s">
        <v>269</v>
      </c>
      <c r="G74" s="7" t="s">
        <v>9</v>
      </c>
      <c r="H74" s="13" t="s">
        <v>9</v>
      </c>
      <c r="I74" s="18" t="s">
        <v>231</v>
      </c>
      <c r="J74" s="67">
        <v>240000</v>
      </c>
      <c r="K74" s="67"/>
    </row>
    <row r="75" spans="2:11" ht="20.100000000000001" customHeight="1" x14ac:dyDescent="0.3">
      <c r="B75" s="80"/>
      <c r="C75" s="80"/>
      <c r="D75" s="80"/>
      <c r="E75" s="3" t="s">
        <v>81</v>
      </c>
      <c r="F75" s="4" t="s">
        <v>269</v>
      </c>
      <c r="G75" s="7" t="s">
        <v>9</v>
      </c>
      <c r="H75" s="13" t="s">
        <v>9</v>
      </c>
      <c r="I75" s="18" t="s">
        <v>232</v>
      </c>
      <c r="J75" s="69"/>
      <c r="K75" s="69"/>
    </row>
    <row r="76" spans="2:11" ht="20.100000000000001" customHeight="1" x14ac:dyDescent="0.3">
      <c r="B76" s="80"/>
      <c r="C76" s="80"/>
      <c r="D76" s="80"/>
      <c r="E76" s="3" t="s">
        <v>82</v>
      </c>
      <c r="F76" s="4" t="s">
        <v>279</v>
      </c>
      <c r="G76" s="7" t="s">
        <v>9</v>
      </c>
      <c r="H76" s="13" t="s">
        <v>9</v>
      </c>
      <c r="I76" s="18" t="s">
        <v>233</v>
      </c>
      <c r="J76" s="69"/>
      <c r="K76" s="69"/>
    </row>
    <row r="77" spans="2:11" ht="20.100000000000001" customHeight="1" x14ac:dyDescent="0.3">
      <c r="B77" s="80"/>
      <c r="C77" s="80"/>
      <c r="D77" s="80"/>
      <c r="E77" s="3" t="s">
        <v>83</v>
      </c>
      <c r="F77" s="4" t="s">
        <v>279</v>
      </c>
      <c r="G77" s="7" t="s">
        <v>9</v>
      </c>
      <c r="H77" s="13" t="s">
        <v>9</v>
      </c>
      <c r="I77" s="18" t="s">
        <v>234</v>
      </c>
      <c r="J77" s="68"/>
      <c r="K77" s="68"/>
    </row>
    <row r="78" spans="2:11" ht="20.100000000000001" customHeight="1" x14ac:dyDescent="0.3">
      <c r="B78" s="80"/>
      <c r="C78" s="80"/>
      <c r="D78" s="80"/>
      <c r="E78" s="3" t="s">
        <v>84</v>
      </c>
      <c r="F78" s="4" t="s">
        <v>269</v>
      </c>
      <c r="G78" s="7" t="s">
        <v>9</v>
      </c>
      <c r="H78" s="13" t="s">
        <v>9</v>
      </c>
      <c r="I78" s="19" t="s">
        <v>263</v>
      </c>
      <c r="J78" s="24"/>
      <c r="K78" s="23">
        <v>70000</v>
      </c>
    </row>
    <row r="79" spans="2:11" ht="20.100000000000001" customHeight="1" x14ac:dyDescent="0.3">
      <c r="B79" s="80"/>
      <c r="C79" s="80"/>
      <c r="D79" s="80"/>
      <c r="E79" s="4" t="s">
        <v>252</v>
      </c>
      <c r="F79" s="4" t="s">
        <v>269</v>
      </c>
      <c r="G79" s="7" t="s">
        <v>9</v>
      </c>
      <c r="H79" s="13" t="s">
        <v>9</v>
      </c>
      <c r="I79" s="19" t="s">
        <v>264</v>
      </c>
      <c r="J79" s="24"/>
      <c r="K79" s="23">
        <v>70000</v>
      </c>
    </row>
    <row r="80" spans="2:11" ht="20.100000000000001" customHeight="1" x14ac:dyDescent="0.3">
      <c r="B80" s="80"/>
      <c r="C80" s="80"/>
      <c r="D80" s="80"/>
      <c r="E80" s="3" t="s">
        <v>85</v>
      </c>
      <c r="F80" s="4" t="s">
        <v>279</v>
      </c>
      <c r="G80" s="7" t="s">
        <v>9</v>
      </c>
      <c r="H80" s="13" t="s">
        <v>9</v>
      </c>
      <c r="I80" s="19" t="s">
        <v>265</v>
      </c>
      <c r="J80" s="24"/>
      <c r="K80" s="23">
        <v>50000</v>
      </c>
    </row>
    <row r="81" spans="2:11" ht="20.100000000000001" customHeight="1" x14ac:dyDescent="0.3">
      <c r="B81" s="80"/>
      <c r="C81" s="80"/>
      <c r="D81" s="80"/>
      <c r="E81" s="3" t="s">
        <v>86</v>
      </c>
      <c r="F81" s="4" t="s">
        <v>279</v>
      </c>
      <c r="G81" s="12" t="s">
        <v>9</v>
      </c>
      <c r="H81" s="63" t="s">
        <v>9</v>
      </c>
      <c r="I81" s="19" t="s">
        <v>266</v>
      </c>
      <c r="J81" s="24"/>
      <c r="K81" s="23">
        <v>50000</v>
      </c>
    </row>
    <row r="82" spans="2:11" ht="20.100000000000001" customHeight="1" x14ac:dyDescent="0.3">
      <c r="B82" s="80"/>
      <c r="C82" s="80"/>
      <c r="D82" s="80"/>
      <c r="E82" s="3" t="s">
        <v>87</v>
      </c>
      <c r="F82" s="9" t="s">
        <v>269</v>
      </c>
      <c r="G82" s="14" t="s">
        <v>383</v>
      </c>
      <c r="H82" s="14" t="s">
        <v>383</v>
      </c>
      <c r="I82" s="20" t="s">
        <v>283</v>
      </c>
      <c r="J82" s="67">
        <v>0</v>
      </c>
      <c r="K82" s="67">
        <v>0</v>
      </c>
    </row>
    <row r="83" spans="2:11" ht="20.100000000000001" customHeight="1" x14ac:dyDescent="0.3">
      <c r="B83" s="80"/>
      <c r="C83" s="80"/>
      <c r="D83" s="80"/>
      <c r="E83" s="3" t="s">
        <v>88</v>
      </c>
      <c r="F83" s="9" t="s">
        <v>269</v>
      </c>
      <c r="G83" s="14" t="s">
        <v>383</v>
      </c>
      <c r="H83" s="14" t="s">
        <v>383</v>
      </c>
      <c r="I83" s="20" t="s">
        <v>284</v>
      </c>
      <c r="J83" s="69"/>
      <c r="K83" s="69"/>
    </row>
    <row r="84" spans="2:11" ht="20.100000000000001" customHeight="1" x14ac:dyDescent="0.3">
      <c r="B84" s="80"/>
      <c r="C84" s="80"/>
      <c r="D84" s="80"/>
      <c r="E84" s="4" t="s">
        <v>169</v>
      </c>
      <c r="F84" s="9" t="s">
        <v>282</v>
      </c>
      <c r="G84" s="14" t="s">
        <v>383</v>
      </c>
      <c r="H84" s="14" t="s">
        <v>383</v>
      </c>
      <c r="I84" s="20" t="s">
        <v>285</v>
      </c>
      <c r="J84" s="69"/>
      <c r="K84" s="69"/>
    </row>
    <row r="85" spans="2:11" ht="20.100000000000001" customHeight="1" x14ac:dyDescent="0.3">
      <c r="B85" s="80"/>
      <c r="C85" s="80"/>
      <c r="D85" s="80"/>
      <c r="E85" s="4" t="s">
        <v>170</v>
      </c>
      <c r="F85" s="9" t="s">
        <v>282</v>
      </c>
      <c r="G85" s="14" t="s">
        <v>383</v>
      </c>
      <c r="H85" s="14" t="s">
        <v>383</v>
      </c>
      <c r="I85" s="20" t="s">
        <v>286</v>
      </c>
      <c r="J85" s="69"/>
      <c r="K85" s="69"/>
    </row>
    <row r="86" spans="2:11" ht="20.100000000000001" customHeight="1" x14ac:dyDescent="0.3">
      <c r="B86" s="80"/>
      <c r="C86" s="80"/>
      <c r="D86" s="80"/>
      <c r="E86" s="4" t="s">
        <v>171</v>
      </c>
      <c r="F86" s="9" t="s">
        <v>279</v>
      </c>
      <c r="G86" s="14" t="s">
        <v>383</v>
      </c>
      <c r="H86" s="14" t="s">
        <v>383</v>
      </c>
      <c r="I86" s="20" t="s">
        <v>287</v>
      </c>
      <c r="J86" s="68"/>
      <c r="K86" s="68"/>
    </row>
    <row r="87" spans="2:11" ht="20.100000000000001" customHeight="1" x14ac:dyDescent="0.3">
      <c r="B87" s="80"/>
      <c r="C87" s="80"/>
      <c r="D87" s="80"/>
      <c r="E87" s="3" t="s">
        <v>89</v>
      </c>
      <c r="F87" s="4" t="s">
        <v>269</v>
      </c>
      <c r="G87" s="17" t="s">
        <v>9</v>
      </c>
      <c r="H87" s="17" t="s">
        <v>9</v>
      </c>
      <c r="I87" s="9" t="s">
        <v>288</v>
      </c>
      <c r="J87" s="67">
        <v>140000</v>
      </c>
      <c r="K87" s="67"/>
    </row>
    <row r="88" spans="2:11" ht="20.100000000000001" customHeight="1" x14ac:dyDescent="0.3">
      <c r="B88" s="80"/>
      <c r="C88" s="80"/>
      <c r="D88" s="80"/>
      <c r="E88" s="3" t="s">
        <v>90</v>
      </c>
      <c r="F88" s="4" t="s">
        <v>269</v>
      </c>
      <c r="G88" s="3" t="s">
        <v>9</v>
      </c>
      <c r="H88" s="3" t="s">
        <v>9</v>
      </c>
      <c r="I88" s="9" t="s">
        <v>289</v>
      </c>
      <c r="J88" s="69"/>
      <c r="K88" s="69"/>
    </row>
    <row r="89" spans="2:11" ht="20.100000000000001" customHeight="1" x14ac:dyDescent="0.3">
      <c r="B89" s="80"/>
      <c r="C89" s="80"/>
      <c r="D89" s="80"/>
      <c r="E89" s="4" t="s">
        <v>164</v>
      </c>
      <c r="F89" s="4" t="s">
        <v>280</v>
      </c>
      <c r="G89" s="3" t="s">
        <v>9</v>
      </c>
      <c r="H89" s="3" t="s">
        <v>9</v>
      </c>
      <c r="I89" s="9" t="s">
        <v>290</v>
      </c>
      <c r="J89" s="68"/>
      <c r="K89" s="68"/>
    </row>
    <row r="90" spans="2:11" ht="20.100000000000001" customHeight="1" x14ac:dyDescent="0.3">
      <c r="B90" s="80"/>
      <c r="C90" s="80"/>
      <c r="D90" s="80"/>
      <c r="E90" s="3" t="s">
        <v>91</v>
      </c>
      <c r="F90" s="4" t="s">
        <v>269</v>
      </c>
      <c r="G90" s="3" t="s">
        <v>9</v>
      </c>
      <c r="H90" s="3" t="s">
        <v>9</v>
      </c>
      <c r="I90" s="9" t="s">
        <v>291</v>
      </c>
      <c r="J90" s="67">
        <v>140000</v>
      </c>
      <c r="K90" s="67"/>
    </row>
    <row r="91" spans="2:11" ht="20.100000000000001" customHeight="1" x14ac:dyDescent="0.3">
      <c r="B91" s="80"/>
      <c r="C91" s="80"/>
      <c r="D91" s="80"/>
      <c r="E91" s="3" t="s">
        <v>92</v>
      </c>
      <c r="F91" s="4" t="s">
        <v>269</v>
      </c>
      <c r="G91" s="3" t="s">
        <v>9</v>
      </c>
      <c r="H91" s="3" t="s">
        <v>9</v>
      </c>
      <c r="I91" s="9" t="s">
        <v>406</v>
      </c>
      <c r="J91" s="68"/>
      <c r="K91" s="68"/>
    </row>
    <row r="92" spans="2:11" ht="20.100000000000001" customHeight="1" x14ac:dyDescent="0.3">
      <c r="B92" s="80"/>
      <c r="C92" s="80"/>
      <c r="D92" s="80"/>
      <c r="E92" s="3" t="s">
        <v>93</v>
      </c>
      <c r="F92" s="3"/>
      <c r="G92" s="3" t="s">
        <v>22</v>
      </c>
      <c r="H92" s="3" t="s">
        <v>22</v>
      </c>
      <c r="I92" s="7"/>
      <c r="J92" s="24"/>
      <c r="K92" s="23"/>
    </row>
    <row r="93" spans="2:11" ht="20.100000000000001" customHeight="1" x14ac:dyDescent="0.3">
      <c r="B93" s="80"/>
      <c r="C93" s="80"/>
      <c r="D93" s="80"/>
      <c r="E93" s="4" t="s">
        <v>172</v>
      </c>
      <c r="F93" s="4"/>
      <c r="G93" s="3" t="s">
        <v>22</v>
      </c>
      <c r="H93" s="3" t="s">
        <v>22</v>
      </c>
      <c r="I93" s="7"/>
      <c r="J93" s="24"/>
      <c r="K93" s="23"/>
    </row>
    <row r="94" spans="2:11" ht="20.100000000000001" customHeight="1" x14ac:dyDescent="0.3">
      <c r="B94" s="80"/>
      <c r="C94" s="81"/>
      <c r="D94" s="81"/>
      <c r="E94" s="4" t="s">
        <v>173</v>
      </c>
      <c r="F94" s="4"/>
      <c r="G94" s="3" t="s">
        <v>22</v>
      </c>
      <c r="H94" s="3" t="s">
        <v>22</v>
      </c>
      <c r="I94" s="7"/>
      <c r="J94" s="24"/>
      <c r="K94" s="23"/>
    </row>
    <row r="95" spans="2:11" ht="20.100000000000001" customHeight="1" x14ac:dyDescent="0.3">
      <c r="B95" s="80"/>
      <c r="C95" s="79" t="s">
        <v>94</v>
      </c>
      <c r="D95" s="79" t="s">
        <v>95</v>
      </c>
      <c r="E95" s="3" t="s">
        <v>95</v>
      </c>
      <c r="F95" s="4" t="s">
        <v>269</v>
      </c>
      <c r="G95" s="3" t="s">
        <v>9</v>
      </c>
      <c r="H95" s="3" t="s">
        <v>9</v>
      </c>
      <c r="I95" s="7" t="s">
        <v>240</v>
      </c>
      <c r="J95" s="24">
        <v>70000</v>
      </c>
      <c r="K95" s="23">
        <v>0</v>
      </c>
    </row>
    <row r="96" spans="2:11" ht="20.100000000000001" customHeight="1" x14ac:dyDescent="0.3">
      <c r="B96" s="80"/>
      <c r="C96" s="80"/>
      <c r="D96" s="80"/>
      <c r="E96" s="3" t="s">
        <v>96</v>
      </c>
      <c r="F96" s="4" t="s">
        <v>269</v>
      </c>
      <c r="G96" s="3" t="s">
        <v>9</v>
      </c>
      <c r="H96" s="3" t="s">
        <v>9</v>
      </c>
      <c r="I96" s="7" t="s">
        <v>241</v>
      </c>
      <c r="J96" s="24">
        <v>30000</v>
      </c>
      <c r="K96" s="23">
        <v>0</v>
      </c>
    </row>
    <row r="97" spans="2:11" ht="20.100000000000001" customHeight="1" x14ac:dyDescent="0.3">
      <c r="B97" s="80"/>
      <c r="C97" s="80"/>
      <c r="D97" s="80"/>
      <c r="E97" s="3" t="s">
        <v>97</v>
      </c>
      <c r="F97" s="4" t="s">
        <v>269</v>
      </c>
      <c r="G97" s="3" t="s">
        <v>9</v>
      </c>
      <c r="H97" s="3" t="s">
        <v>9</v>
      </c>
      <c r="I97" s="7" t="s">
        <v>242</v>
      </c>
      <c r="J97" s="23">
        <v>70000</v>
      </c>
      <c r="K97" s="23">
        <v>0</v>
      </c>
    </row>
    <row r="98" spans="2:11" ht="20.100000000000001" customHeight="1" x14ac:dyDescent="0.3">
      <c r="B98" s="80"/>
      <c r="C98" s="80"/>
      <c r="D98" s="80"/>
      <c r="E98" s="3" t="s">
        <v>98</v>
      </c>
      <c r="F98" s="4" t="s">
        <v>269</v>
      </c>
      <c r="G98" s="3" t="s">
        <v>9</v>
      </c>
      <c r="H98" s="3" t="s">
        <v>9</v>
      </c>
      <c r="I98" s="7" t="s">
        <v>243</v>
      </c>
      <c r="J98" s="23">
        <v>70000</v>
      </c>
      <c r="K98" s="23">
        <v>0</v>
      </c>
    </row>
    <row r="99" spans="2:11" ht="20.100000000000001" customHeight="1" x14ac:dyDescent="0.3">
      <c r="B99" s="80"/>
      <c r="C99" s="80"/>
      <c r="D99" s="80"/>
      <c r="E99" s="3" t="s">
        <v>99</v>
      </c>
      <c r="F99" s="4" t="s">
        <v>279</v>
      </c>
      <c r="G99" s="3" t="s">
        <v>9</v>
      </c>
      <c r="H99" s="3" t="s">
        <v>9</v>
      </c>
      <c r="I99" s="7" t="s">
        <v>244</v>
      </c>
      <c r="J99" s="23">
        <v>50000</v>
      </c>
      <c r="K99" s="23">
        <v>0</v>
      </c>
    </row>
    <row r="100" spans="2:11" ht="20.100000000000001" customHeight="1" x14ac:dyDescent="0.3">
      <c r="B100" s="80"/>
      <c r="C100" s="80"/>
      <c r="D100" s="80"/>
      <c r="E100" s="3" t="s">
        <v>100</v>
      </c>
      <c r="F100" s="4" t="s">
        <v>269</v>
      </c>
      <c r="G100" s="3" t="s">
        <v>9</v>
      </c>
      <c r="H100" s="3" t="s">
        <v>9</v>
      </c>
      <c r="I100" s="7" t="s">
        <v>199</v>
      </c>
      <c r="J100" s="67">
        <v>150000</v>
      </c>
      <c r="K100" s="67">
        <v>0</v>
      </c>
    </row>
    <row r="101" spans="2:11" ht="20.100000000000001" customHeight="1" x14ac:dyDescent="0.3">
      <c r="B101" s="80"/>
      <c r="C101" s="80"/>
      <c r="D101" s="80"/>
      <c r="E101" s="3" t="s">
        <v>101</v>
      </c>
      <c r="F101" s="4" t="s">
        <v>269</v>
      </c>
      <c r="G101" s="3" t="s">
        <v>9</v>
      </c>
      <c r="H101" s="3" t="s">
        <v>9</v>
      </c>
      <c r="I101" s="7" t="s">
        <v>200</v>
      </c>
      <c r="J101" s="69"/>
      <c r="K101" s="69"/>
    </row>
    <row r="102" spans="2:11" ht="20.100000000000001" customHeight="1" x14ac:dyDescent="0.3">
      <c r="B102" s="80"/>
      <c r="C102" s="80"/>
      <c r="D102" s="80"/>
      <c r="E102" s="3" t="s">
        <v>102</v>
      </c>
      <c r="F102" s="4" t="s">
        <v>279</v>
      </c>
      <c r="G102" s="3" t="s">
        <v>9</v>
      </c>
      <c r="H102" s="3" t="s">
        <v>9</v>
      </c>
      <c r="I102" s="7" t="s">
        <v>201</v>
      </c>
      <c r="J102" s="69"/>
      <c r="K102" s="69"/>
    </row>
    <row r="103" spans="2:11" ht="20.100000000000001" customHeight="1" x14ac:dyDescent="0.3">
      <c r="B103" s="80"/>
      <c r="C103" s="80"/>
      <c r="D103" s="80"/>
      <c r="E103" s="3" t="s">
        <v>103</v>
      </c>
      <c r="F103" s="4" t="s">
        <v>279</v>
      </c>
      <c r="G103" s="3" t="s">
        <v>9</v>
      </c>
      <c r="H103" s="3" t="s">
        <v>9</v>
      </c>
      <c r="I103" s="7" t="s">
        <v>202</v>
      </c>
      <c r="J103" s="69"/>
      <c r="K103" s="69"/>
    </row>
    <row r="104" spans="2:11" ht="20.100000000000001" customHeight="1" x14ac:dyDescent="0.3">
      <c r="B104" s="80"/>
      <c r="C104" s="80"/>
      <c r="D104" s="80"/>
      <c r="E104" s="3" t="s">
        <v>104</v>
      </c>
      <c r="F104" s="14" t="s">
        <v>280</v>
      </c>
      <c r="G104" s="3" t="s">
        <v>9</v>
      </c>
      <c r="H104" s="3" t="s">
        <v>9</v>
      </c>
      <c r="I104" s="7" t="s">
        <v>203</v>
      </c>
      <c r="J104" s="68"/>
      <c r="K104" s="68"/>
    </row>
    <row r="105" spans="2:11" ht="20.100000000000001" customHeight="1" x14ac:dyDescent="0.3">
      <c r="B105" s="80"/>
      <c r="C105" s="80"/>
      <c r="D105" s="80"/>
      <c r="E105" s="3" t="s">
        <v>105</v>
      </c>
      <c r="F105" s="4" t="s">
        <v>269</v>
      </c>
      <c r="G105" s="3" t="s">
        <v>9</v>
      </c>
      <c r="H105" s="3" t="s">
        <v>9</v>
      </c>
      <c r="I105" s="9" t="s">
        <v>301</v>
      </c>
      <c r="J105" s="67">
        <v>140000</v>
      </c>
      <c r="K105" s="67">
        <v>0</v>
      </c>
    </row>
    <row r="106" spans="2:11" ht="20.100000000000001" customHeight="1" x14ac:dyDescent="0.3">
      <c r="B106" s="80"/>
      <c r="C106" s="80"/>
      <c r="D106" s="80"/>
      <c r="E106" s="3" t="s">
        <v>106</v>
      </c>
      <c r="F106" s="4" t="s">
        <v>269</v>
      </c>
      <c r="G106" s="3" t="s">
        <v>9</v>
      </c>
      <c r="H106" s="3" t="s">
        <v>9</v>
      </c>
      <c r="I106" s="9" t="s">
        <v>302</v>
      </c>
      <c r="J106" s="68"/>
      <c r="K106" s="68"/>
    </row>
    <row r="107" spans="2:11" ht="20.100000000000001" customHeight="1" x14ac:dyDescent="0.3">
      <c r="B107" s="80"/>
      <c r="C107" s="80"/>
      <c r="D107" s="80"/>
      <c r="E107" s="3" t="s">
        <v>107</v>
      </c>
      <c r="F107" s="4" t="s">
        <v>269</v>
      </c>
      <c r="G107" s="3" t="s">
        <v>9</v>
      </c>
      <c r="H107" s="3" t="s">
        <v>9</v>
      </c>
      <c r="I107" s="7" t="s">
        <v>245</v>
      </c>
      <c r="J107" s="67">
        <v>190000</v>
      </c>
      <c r="K107" s="67">
        <v>0</v>
      </c>
    </row>
    <row r="108" spans="2:11" ht="20.100000000000001" customHeight="1" x14ac:dyDescent="0.3">
      <c r="B108" s="80"/>
      <c r="C108" s="80"/>
      <c r="D108" s="80"/>
      <c r="E108" s="3" t="s">
        <v>108</v>
      </c>
      <c r="F108" s="4" t="s">
        <v>269</v>
      </c>
      <c r="G108" s="3" t="s">
        <v>9</v>
      </c>
      <c r="H108" s="3" t="s">
        <v>9</v>
      </c>
      <c r="I108" s="7" t="s">
        <v>247</v>
      </c>
      <c r="J108" s="69"/>
      <c r="K108" s="69"/>
    </row>
    <row r="109" spans="2:11" ht="20.100000000000001" customHeight="1" x14ac:dyDescent="0.3">
      <c r="B109" s="80"/>
      <c r="C109" s="80"/>
      <c r="D109" s="80"/>
      <c r="E109" s="3" t="s">
        <v>109</v>
      </c>
      <c r="F109" s="4" t="s">
        <v>279</v>
      </c>
      <c r="G109" s="3" t="s">
        <v>9</v>
      </c>
      <c r="H109" s="3" t="s">
        <v>9</v>
      </c>
      <c r="I109" s="7" t="s">
        <v>246</v>
      </c>
      <c r="J109" s="68"/>
      <c r="K109" s="68"/>
    </row>
    <row r="110" spans="2:11" ht="20.100000000000001" customHeight="1" x14ac:dyDescent="0.3">
      <c r="B110" s="80"/>
      <c r="C110" s="80"/>
      <c r="D110" s="80"/>
      <c r="E110" s="11" t="s">
        <v>110</v>
      </c>
      <c r="F110" s="31" t="s">
        <v>324</v>
      </c>
      <c r="G110" s="11" t="s">
        <v>22</v>
      </c>
      <c r="H110" s="11" t="s">
        <v>22</v>
      </c>
      <c r="I110" s="12"/>
      <c r="J110" s="22"/>
      <c r="K110" s="23"/>
    </row>
    <row r="111" spans="2:11" ht="20.100000000000001" customHeight="1" x14ac:dyDescent="0.3">
      <c r="B111" s="83"/>
      <c r="C111" s="82" t="s">
        <v>111</v>
      </c>
      <c r="D111" s="82" t="s">
        <v>112</v>
      </c>
      <c r="E111" s="13" t="s">
        <v>113</v>
      </c>
      <c r="F111" s="4" t="s">
        <v>269</v>
      </c>
      <c r="G111" s="13" t="s">
        <v>9</v>
      </c>
      <c r="H111" s="13" t="s">
        <v>9</v>
      </c>
      <c r="I111" s="13" t="s">
        <v>248</v>
      </c>
      <c r="J111" s="67">
        <v>140000</v>
      </c>
      <c r="K111" s="67">
        <v>0</v>
      </c>
    </row>
    <row r="112" spans="2:11" ht="20.100000000000001" customHeight="1" x14ac:dyDescent="0.3">
      <c r="B112" s="84"/>
      <c r="C112" s="82"/>
      <c r="D112" s="82"/>
      <c r="E112" s="13" t="s">
        <v>114</v>
      </c>
      <c r="F112" s="4" t="s">
        <v>269</v>
      </c>
      <c r="G112" s="13" t="s">
        <v>9</v>
      </c>
      <c r="H112" s="13" t="s">
        <v>9</v>
      </c>
      <c r="I112" s="13" t="s">
        <v>249</v>
      </c>
      <c r="J112" s="68"/>
      <c r="K112" s="68"/>
    </row>
    <row r="113" spans="2:11" ht="20.100000000000001" customHeight="1" x14ac:dyDescent="0.3">
      <c r="B113" s="84"/>
      <c r="C113" s="82"/>
      <c r="D113" s="82"/>
      <c r="E113" s="13" t="s">
        <v>115</v>
      </c>
      <c r="F113" s="4" t="s">
        <v>269</v>
      </c>
      <c r="G113" s="13" t="s">
        <v>9</v>
      </c>
      <c r="H113" s="13" t="s">
        <v>9</v>
      </c>
      <c r="I113" s="10" t="s">
        <v>267</v>
      </c>
      <c r="J113" s="24"/>
      <c r="K113" s="23"/>
    </row>
    <row r="114" spans="2:11" ht="20.100000000000001" customHeight="1" x14ac:dyDescent="0.3">
      <c r="B114" s="84"/>
      <c r="C114" s="82"/>
      <c r="D114" s="82"/>
      <c r="E114" s="13" t="s">
        <v>116</v>
      </c>
      <c r="F114" s="4" t="s">
        <v>269</v>
      </c>
      <c r="G114" s="13" t="s">
        <v>9</v>
      </c>
      <c r="H114" s="13" t="s">
        <v>9</v>
      </c>
      <c r="I114" s="14" t="s">
        <v>371</v>
      </c>
      <c r="J114" s="67">
        <v>140000</v>
      </c>
      <c r="K114" s="67">
        <v>0</v>
      </c>
    </row>
    <row r="115" spans="2:11" ht="20.100000000000001" customHeight="1" x14ac:dyDescent="0.3">
      <c r="B115" s="84"/>
      <c r="C115" s="82"/>
      <c r="D115" s="82"/>
      <c r="E115" s="13" t="s">
        <v>119</v>
      </c>
      <c r="F115" s="4" t="s">
        <v>269</v>
      </c>
      <c r="G115" s="13" t="s">
        <v>9</v>
      </c>
      <c r="H115" s="13" t="s">
        <v>9</v>
      </c>
      <c r="I115" s="14" t="s">
        <v>372</v>
      </c>
      <c r="J115" s="68"/>
      <c r="K115" s="68"/>
    </row>
    <row r="116" spans="2:11" ht="20.100000000000001" customHeight="1" x14ac:dyDescent="0.3">
      <c r="B116" s="84"/>
      <c r="C116" s="82"/>
      <c r="D116" s="82"/>
      <c r="E116" s="13" t="s">
        <v>117</v>
      </c>
      <c r="F116" s="4" t="s">
        <v>269</v>
      </c>
      <c r="G116" s="13" t="s">
        <v>9</v>
      </c>
      <c r="H116" s="13" t="s">
        <v>9</v>
      </c>
      <c r="I116" s="13" t="s">
        <v>250</v>
      </c>
      <c r="J116" s="24">
        <v>70000</v>
      </c>
      <c r="K116" s="23">
        <v>0</v>
      </c>
    </row>
    <row r="117" spans="2:11" ht="20.100000000000001" customHeight="1" x14ac:dyDescent="0.3">
      <c r="B117" s="84"/>
      <c r="C117" s="82"/>
      <c r="D117" s="82"/>
      <c r="E117" s="13" t="s">
        <v>118</v>
      </c>
      <c r="F117" s="4" t="s">
        <v>269</v>
      </c>
      <c r="G117" s="13" t="s">
        <v>9</v>
      </c>
      <c r="H117" s="13" t="s">
        <v>9</v>
      </c>
      <c r="I117" s="13" t="s">
        <v>251</v>
      </c>
      <c r="J117" s="24">
        <v>70000</v>
      </c>
      <c r="K117" s="23">
        <v>0</v>
      </c>
    </row>
    <row r="118" spans="2:11" ht="20.100000000000001" customHeight="1" x14ac:dyDescent="0.3">
      <c r="B118" s="84"/>
      <c r="C118" s="82"/>
      <c r="D118" s="82"/>
      <c r="E118" s="13" t="s">
        <v>112</v>
      </c>
      <c r="F118" s="4" t="s">
        <v>269</v>
      </c>
      <c r="G118" s="13" t="s">
        <v>9</v>
      </c>
      <c r="H118" s="13" t="s">
        <v>9</v>
      </c>
      <c r="I118" s="10" t="s">
        <v>268</v>
      </c>
      <c r="J118" s="24">
        <v>140000</v>
      </c>
      <c r="K118" s="23">
        <v>0</v>
      </c>
    </row>
    <row r="119" spans="2:11" ht="20.100000000000001" customHeight="1" x14ac:dyDescent="0.3">
      <c r="B119" s="84"/>
      <c r="C119" s="82" t="s">
        <v>120</v>
      </c>
      <c r="D119" s="82" t="s">
        <v>121</v>
      </c>
      <c r="E119" s="13" t="s">
        <v>122</v>
      </c>
      <c r="F119" s="4" t="s">
        <v>269</v>
      </c>
      <c r="G119" s="13" t="s">
        <v>9</v>
      </c>
      <c r="H119" s="13" t="s">
        <v>9</v>
      </c>
      <c r="I119" s="13" t="s">
        <v>204</v>
      </c>
      <c r="J119" s="67">
        <v>240000</v>
      </c>
      <c r="K119" s="67">
        <v>0</v>
      </c>
    </row>
    <row r="120" spans="2:11" ht="20.100000000000001" customHeight="1" x14ac:dyDescent="0.3">
      <c r="B120" s="84"/>
      <c r="C120" s="82"/>
      <c r="D120" s="82"/>
      <c r="E120" s="13" t="s">
        <v>123</v>
      </c>
      <c r="F120" s="4" t="s">
        <v>269</v>
      </c>
      <c r="G120" s="13" t="s">
        <v>9</v>
      </c>
      <c r="H120" s="13" t="s">
        <v>9</v>
      </c>
      <c r="I120" s="13" t="s">
        <v>205</v>
      </c>
      <c r="J120" s="69"/>
      <c r="K120" s="69"/>
    </row>
    <row r="121" spans="2:11" ht="20.100000000000001" customHeight="1" x14ac:dyDescent="0.3">
      <c r="B121" s="84"/>
      <c r="C121" s="82"/>
      <c r="D121" s="82"/>
      <c r="E121" s="14" t="s">
        <v>153</v>
      </c>
      <c r="F121" s="14" t="s">
        <v>279</v>
      </c>
      <c r="G121" s="13" t="s">
        <v>9</v>
      </c>
      <c r="H121" s="13" t="s">
        <v>9</v>
      </c>
      <c r="I121" s="13" t="s">
        <v>206</v>
      </c>
      <c r="J121" s="69"/>
      <c r="K121" s="69"/>
    </row>
    <row r="122" spans="2:11" ht="20.100000000000001" customHeight="1" x14ac:dyDescent="0.3">
      <c r="B122" s="84"/>
      <c r="C122" s="82"/>
      <c r="D122" s="82"/>
      <c r="E122" s="14" t="s">
        <v>154</v>
      </c>
      <c r="F122" s="14" t="s">
        <v>279</v>
      </c>
      <c r="G122" s="13" t="s">
        <v>9</v>
      </c>
      <c r="H122" s="13" t="s">
        <v>9</v>
      </c>
      <c r="I122" s="13" t="s">
        <v>207</v>
      </c>
      <c r="J122" s="69"/>
      <c r="K122" s="69"/>
    </row>
    <row r="123" spans="2:11" ht="20.100000000000001" customHeight="1" x14ac:dyDescent="0.3">
      <c r="B123" s="84"/>
      <c r="C123" s="82"/>
      <c r="D123" s="82"/>
      <c r="E123" s="14" t="s">
        <v>155</v>
      </c>
      <c r="F123" s="14" t="s">
        <v>281</v>
      </c>
      <c r="G123" s="13" t="s">
        <v>9</v>
      </c>
      <c r="H123" s="13" t="s">
        <v>9</v>
      </c>
      <c r="I123" s="13" t="s">
        <v>208</v>
      </c>
      <c r="J123" s="68"/>
      <c r="K123" s="68"/>
    </row>
    <row r="124" spans="2:11" ht="20.100000000000001" customHeight="1" x14ac:dyDescent="0.3">
      <c r="B124" s="84"/>
      <c r="C124" s="82"/>
      <c r="D124" s="82"/>
      <c r="E124" s="13" t="s">
        <v>124</v>
      </c>
      <c r="F124" s="4" t="s">
        <v>269</v>
      </c>
      <c r="G124" s="13" t="s">
        <v>9</v>
      </c>
      <c r="H124" s="13" t="s">
        <v>9</v>
      </c>
      <c r="I124" s="13" t="s">
        <v>209</v>
      </c>
      <c r="J124" s="23">
        <v>70000</v>
      </c>
      <c r="K124" s="23">
        <v>0</v>
      </c>
    </row>
    <row r="125" spans="2:11" ht="20.100000000000001" customHeight="1" x14ac:dyDescent="0.3">
      <c r="B125" s="84"/>
      <c r="C125" s="82"/>
      <c r="D125" s="82"/>
      <c r="E125" s="13" t="s">
        <v>125</v>
      </c>
      <c r="F125" s="4" t="s">
        <v>269</v>
      </c>
      <c r="G125" s="13" t="s">
        <v>9</v>
      </c>
      <c r="H125" s="13" t="s">
        <v>9</v>
      </c>
      <c r="I125" s="13" t="s">
        <v>210</v>
      </c>
      <c r="J125" s="24">
        <v>70000</v>
      </c>
      <c r="K125" s="23">
        <v>0</v>
      </c>
    </row>
    <row r="126" spans="2:11" ht="20.100000000000001" customHeight="1" x14ac:dyDescent="0.3">
      <c r="B126" s="84"/>
      <c r="C126" s="82"/>
      <c r="D126" s="82"/>
      <c r="E126" s="14" t="s">
        <v>151</v>
      </c>
      <c r="F126" s="14" t="s">
        <v>281</v>
      </c>
      <c r="G126" s="13" t="s">
        <v>9</v>
      </c>
      <c r="H126" s="13" t="s">
        <v>9</v>
      </c>
      <c r="I126" s="13" t="s">
        <v>211</v>
      </c>
      <c r="J126" s="23">
        <v>0</v>
      </c>
      <c r="K126" s="23">
        <v>0</v>
      </c>
    </row>
    <row r="127" spans="2:11" ht="20.100000000000001" customHeight="1" x14ac:dyDescent="0.3">
      <c r="B127" s="84"/>
      <c r="C127" s="82"/>
      <c r="D127" s="82"/>
      <c r="E127" s="14" t="s">
        <v>152</v>
      </c>
      <c r="F127" s="14" t="s">
        <v>280</v>
      </c>
      <c r="G127" s="13" t="s">
        <v>9</v>
      </c>
      <c r="H127" s="13" t="s">
        <v>9</v>
      </c>
      <c r="I127" s="14" t="s">
        <v>317</v>
      </c>
      <c r="J127" s="23">
        <v>0</v>
      </c>
      <c r="K127" s="23">
        <v>0</v>
      </c>
    </row>
    <row r="128" spans="2:11" ht="20.100000000000001" customHeight="1" x14ac:dyDescent="0.3">
      <c r="B128" s="84"/>
      <c r="C128" s="82" t="s">
        <v>126</v>
      </c>
      <c r="D128" s="82" t="s">
        <v>127</v>
      </c>
      <c r="E128" s="14" t="s">
        <v>156</v>
      </c>
      <c r="F128" s="14"/>
      <c r="G128" s="14" t="s">
        <v>168</v>
      </c>
      <c r="H128" s="14" t="s">
        <v>168</v>
      </c>
      <c r="I128" s="13"/>
      <c r="J128" s="24"/>
      <c r="K128" s="23"/>
    </row>
    <row r="129" spans="2:11" ht="20.100000000000001" customHeight="1" x14ac:dyDescent="0.3">
      <c r="B129" s="84"/>
      <c r="C129" s="82"/>
      <c r="D129" s="82"/>
      <c r="E129" s="13" t="s">
        <v>128</v>
      </c>
      <c r="F129" s="13"/>
      <c r="G129" s="14" t="s">
        <v>168</v>
      </c>
      <c r="H129" s="14" t="s">
        <v>168</v>
      </c>
      <c r="I129" s="13"/>
      <c r="J129" s="24"/>
      <c r="K129" s="23"/>
    </row>
    <row r="130" spans="2:11" ht="20.100000000000001" customHeight="1" x14ac:dyDescent="0.3">
      <c r="B130" s="84"/>
      <c r="C130" s="82"/>
      <c r="D130" s="82"/>
      <c r="E130" s="13" t="s">
        <v>129</v>
      </c>
      <c r="F130" s="14" t="s">
        <v>269</v>
      </c>
      <c r="G130" s="13" t="s">
        <v>9</v>
      </c>
      <c r="H130" s="13" t="s">
        <v>9</v>
      </c>
      <c r="I130" s="13" t="s">
        <v>197</v>
      </c>
      <c r="J130" s="67">
        <v>140000</v>
      </c>
      <c r="K130" s="67">
        <v>0</v>
      </c>
    </row>
    <row r="131" spans="2:11" ht="20.100000000000001" customHeight="1" x14ac:dyDescent="0.3">
      <c r="B131" s="84"/>
      <c r="C131" s="82"/>
      <c r="D131" s="82"/>
      <c r="E131" s="13" t="s">
        <v>130</v>
      </c>
      <c r="F131" s="14" t="s">
        <v>269</v>
      </c>
      <c r="G131" s="13" t="s">
        <v>9</v>
      </c>
      <c r="H131" s="13" t="s">
        <v>9</v>
      </c>
      <c r="I131" s="13" t="s">
        <v>198</v>
      </c>
      <c r="J131" s="68"/>
      <c r="K131" s="68"/>
    </row>
    <row r="132" spans="2:11" ht="20.100000000000001" customHeight="1" x14ac:dyDescent="0.3">
      <c r="B132" s="84"/>
      <c r="C132" s="82"/>
      <c r="D132" s="82"/>
      <c r="E132" s="13" t="s">
        <v>131</v>
      </c>
      <c r="F132" s="14" t="s">
        <v>269</v>
      </c>
      <c r="G132" s="13" t="s">
        <v>9</v>
      </c>
      <c r="H132" s="13" t="s">
        <v>9</v>
      </c>
      <c r="I132" s="13" t="s">
        <v>212</v>
      </c>
      <c r="J132" s="67">
        <v>140000</v>
      </c>
      <c r="K132" s="67">
        <v>0</v>
      </c>
    </row>
    <row r="133" spans="2:11" ht="20.100000000000001" customHeight="1" x14ac:dyDescent="0.3">
      <c r="B133" s="84"/>
      <c r="C133" s="82"/>
      <c r="D133" s="82"/>
      <c r="E133" s="13" t="s">
        <v>132</v>
      </c>
      <c r="F133" s="14" t="s">
        <v>269</v>
      </c>
      <c r="G133" s="13" t="s">
        <v>9</v>
      </c>
      <c r="H133" s="13" t="s">
        <v>9</v>
      </c>
      <c r="I133" s="13" t="s">
        <v>213</v>
      </c>
      <c r="J133" s="68"/>
      <c r="K133" s="68"/>
    </row>
    <row r="134" spans="2:11" ht="20.100000000000001" customHeight="1" x14ac:dyDescent="0.3">
      <c r="B134" s="84"/>
      <c r="C134" s="82"/>
      <c r="D134" s="82"/>
      <c r="E134" s="13" t="s">
        <v>133</v>
      </c>
      <c r="F134" s="14" t="s">
        <v>269</v>
      </c>
      <c r="G134" s="13" t="s">
        <v>9</v>
      </c>
      <c r="H134" s="13" t="s">
        <v>9</v>
      </c>
      <c r="I134" s="14" t="s">
        <v>402</v>
      </c>
      <c r="J134" s="67">
        <v>140000</v>
      </c>
      <c r="K134" s="67">
        <v>0</v>
      </c>
    </row>
    <row r="135" spans="2:11" ht="20.100000000000001" customHeight="1" x14ac:dyDescent="0.3">
      <c r="B135" s="84"/>
      <c r="C135" s="82"/>
      <c r="D135" s="82"/>
      <c r="E135" s="13" t="s">
        <v>134</v>
      </c>
      <c r="F135" s="14" t="s">
        <v>269</v>
      </c>
      <c r="G135" s="13" t="s">
        <v>9</v>
      </c>
      <c r="H135" s="13" t="s">
        <v>9</v>
      </c>
      <c r="I135" s="14" t="s">
        <v>403</v>
      </c>
      <c r="J135" s="68"/>
      <c r="K135" s="68"/>
    </row>
    <row r="136" spans="2:11" ht="20.100000000000001" customHeight="1" x14ac:dyDescent="0.3">
      <c r="B136" s="84"/>
      <c r="C136" s="82" t="s">
        <v>135</v>
      </c>
      <c r="D136" s="82" t="s">
        <v>136</v>
      </c>
      <c r="E136" s="13" t="s">
        <v>137</v>
      </c>
      <c r="F136" s="14" t="s">
        <v>269</v>
      </c>
      <c r="G136" s="13" t="s">
        <v>9</v>
      </c>
      <c r="H136" s="13" t="s">
        <v>9</v>
      </c>
      <c r="I136" s="13" t="s">
        <v>194</v>
      </c>
      <c r="J136" s="24">
        <v>70000</v>
      </c>
      <c r="K136" s="23">
        <v>0</v>
      </c>
    </row>
    <row r="137" spans="2:11" ht="20.100000000000001" customHeight="1" x14ac:dyDescent="0.3">
      <c r="B137" s="84"/>
      <c r="C137" s="82"/>
      <c r="D137" s="82"/>
      <c r="E137" s="13" t="s">
        <v>138</v>
      </c>
      <c r="F137" s="14" t="s">
        <v>269</v>
      </c>
      <c r="G137" s="13" t="s">
        <v>9</v>
      </c>
      <c r="H137" s="13" t="s">
        <v>9</v>
      </c>
      <c r="I137" s="13" t="s">
        <v>195</v>
      </c>
      <c r="J137" s="24">
        <v>70000</v>
      </c>
      <c r="K137" s="23">
        <v>0</v>
      </c>
    </row>
    <row r="138" spans="2:11" ht="20.100000000000001" customHeight="1" x14ac:dyDescent="0.3">
      <c r="B138" s="84"/>
      <c r="C138" s="82"/>
      <c r="D138" s="82"/>
      <c r="E138" s="13" t="s">
        <v>139</v>
      </c>
      <c r="F138" s="14" t="s">
        <v>282</v>
      </c>
      <c r="G138" s="13" t="s">
        <v>9</v>
      </c>
      <c r="H138" s="13" t="s">
        <v>9</v>
      </c>
      <c r="I138" s="13" t="s">
        <v>196</v>
      </c>
      <c r="J138" s="24">
        <v>70000</v>
      </c>
      <c r="K138" s="23">
        <v>0</v>
      </c>
    </row>
    <row r="139" spans="2:11" ht="20.100000000000001" customHeight="1" x14ac:dyDescent="0.3">
      <c r="B139" s="84"/>
      <c r="C139" s="82"/>
      <c r="D139" s="82"/>
      <c r="E139" s="13" t="s">
        <v>140</v>
      </c>
      <c r="F139" s="14" t="s">
        <v>269</v>
      </c>
      <c r="G139" s="13" t="s">
        <v>9</v>
      </c>
      <c r="H139" s="13" t="s">
        <v>9</v>
      </c>
      <c r="I139" s="13" t="s">
        <v>189</v>
      </c>
      <c r="J139" s="23">
        <v>0</v>
      </c>
      <c r="K139" s="24">
        <v>70000</v>
      </c>
    </row>
    <row r="140" spans="2:11" ht="20.100000000000001" customHeight="1" x14ac:dyDescent="0.3">
      <c r="B140" s="84"/>
      <c r="C140" s="82"/>
      <c r="D140" s="82"/>
      <c r="E140" s="13" t="s">
        <v>141</v>
      </c>
      <c r="F140" s="14" t="s">
        <v>269</v>
      </c>
      <c r="G140" s="13" t="s">
        <v>9</v>
      </c>
      <c r="H140" s="13" t="s">
        <v>9</v>
      </c>
      <c r="I140" s="13" t="s">
        <v>190</v>
      </c>
      <c r="J140" s="23">
        <v>0</v>
      </c>
      <c r="K140" s="24">
        <v>70000</v>
      </c>
    </row>
    <row r="141" spans="2:11" ht="20.100000000000001" customHeight="1" x14ac:dyDescent="0.3">
      <c r="B141" s="84"/>
      <c r="C141" s="82"/>
      <c r="D141" s="82"/>
      <c r="E141" s="13" t="s">
        <v>142</v>
      </c>
      <c r="F141" s="14" t="s">
        <v>269</v>
      </c>
      <c r="G141" s="13" t="s">
        <v>9</v>
      </c>
      <c r="H141" s="13" t="s">
        <v>9</v>
      </c>
      <c r="I141" s="13" t="s">
        <v>193</v>
      </c>
      <c r="J141" s="23">
        <v>0</v>
      </c>
      <c r="K141" s="24">
        <v>70000</v>
      </c>
    </row>
    <row r="142" spans="2:11" ht="20.100000000000001" customHeight="1" x14ac:dyDescent="0.3">
      <c r="B142" s="84"/>
      <c r="C142" s="82"/>
      <c r="D142" s="82"/>
      <c r="E142" s="13" t="s">
        <v>143</v>
      </c>
      <c r="F142" s="14" t="s">
        <v>282</v>
      </c>
      <c r="G142" s="4" t="s">
        <v>168</v>
      </c>
      <c r="H142" s="4" t="s">
        <v>168</v>
      </c>
      <c r="I142" s="13" t="s">
        <v>191</v>
      </c>
      <c r="J142" s="24">
        <v>0</v>
      </c>
      <c r="K142" s="24">
        <v>0</v>
      </c>
    </row>
    <row r="143" spans="2:11" ht="20.100000000000001" customHeight="1" x14ac:dyDescent="0.3">
      <c r="B143" s="84"/>
      <c r="C143" s="82"/>
      <c r="D143" s="82"/>
      <c r="E143" s="13" t="s">
        <v>144</v>
      </c>
      <c r="F143" s="14" t="s">
        <v>282</v>
      </c>
      <c r="G143" s="4" t="s">
        <v>168</v>
      </c>
      <c r="H143" s="4" t="s">
        <v>168</v>
      </c>
      <c r="I143" s="13" t="s">
        <v>192</v>
      </c>
      <c r="J143" s="24">
        <v>0</v>
      </c>
      <c r="K143" s="24">
        <v>0</v>
      </c>
    </row>
    <row r="144" spans="2:11" ht="20.100000000000001" customHeight="1" x14ac:dyDescent="0.3">
      <c r="B144" s="84"/>
      <c r="C144" s="82"/>
      <c r="D144" s="82"/>
      <c r="E144" s="13" t="s">
        <v>147</v>
      </c>
      <c r="F144" s="14" t="s">
        <v>282</v>
      </c>
      <c r="G144" s="13" t="s">
        <v>9</v>
      </c>
      <c r="H144" s="13" t="s">
        <v>9</v>
      </c>
      <c r="I144" s="13" t="s">
        <v>188</v>
      </c>
      <c r="J144" s="24">
        <v>70000</v>
      </c>
      <c r="K144" s="23">
        <v>0</v>
      </c>
    </row>
    <row r="145" spans="2:11" ht="20.100000000000001" customHeight="1" x14ac:dyDescent="0.3">
      <c r="B145" s="84"/>
      <c r="C145" s="82"/>
      <c r="D145" s="82"/>
      <c r="E145" s="13" t="s">
        <v>148</v>
      </c>
      <c r="F145" s="14" t="s">
        <v>269</v>
      </c>
      <c r="G145" s="4" t="s">
        <v>168</v>
      </c>
      <c r="H145" s="4" t="s">
        <v>168</v>
      </c>
      <c r="I145" s="13" t="s">
        <v>187</v>
      </c>
      <c r="J145" s="24">
        <v>0</v>
      </c>
      <c r="K145" s="24">
        <v>0</v>
      </c>
    </row>
    <row r="146" spans="2:11" ht="20.100000000000001" customHeight="1" x14ac:dyDescent="0.3">
      <c r="B146" s="84"/>
      <c r="C146" s="83" t="s">
        <v>149</v>
      </c>
      <c r="D146" s="83" t="s">
        <v>150</v>
      </c>
      <c r="E146" s="13" t="s">
        <v>145</v>
      </c>
      <c r="F146" s="14" t="s">
        <v>269</v>
      </c>
      <c r="G146" s="13" t="s">
        <v>9</v>
      </c>
      <c r="H146" s="13" t="s">
        <v>9</v>
      </c>
      <c r="I146" s="13" t="s">
        <v>183</v>
      </c>
      <c r="J146" s="23">
        <v>0</v>
      </c>
      <c r="K146" s="24">
        <v>0</v>
      </c>
    </row>
    <row r="147" spans="2:11" x14ac:dyDescent="0.3">
      <c r="B147" s="84"/>
      <c r="C147" s="84"/>
      <c r="D147" s="84"/>
      <c r="E147" s="13" t="s">
        <v>146</v>
      </c>
      <c r="F147" s="14" t="s">
        <v>269</v>
      </c>
      <c r="G147" s="13" t="s">
        <v>9</v>
      </c>
      <c r="H147" s="13" t="s">
        <v>9</v>
      </c>
      <c r="I147" s="13" t="s">
        <v>184</v>
      </c>
      <c r="J147" s="24">
        <v>0</v>
      </c>
      <c r="K147" s="24">
        <v>0</v>
      </c>
    </row>
    <row r="148" spans="2:11" x14ac:dyDescent="0.3">
      <c r="B148" s="84"/>
      <c r="C148" s="84"/>
      <c r="D148" s="84"/>
      <c r="E148" s="15" t="s">
        <v>186</v>
      </c>
      <c r="F148" s="15" t="s">
        <v>280</v>
      </c>
      <c r="G148" s="13" t="s">
        <v>9</v>
      </c>
      <c r="H148" s="13" t="s">
        <v>9</v>
      </c>
      <c r="I148" s="13" t="s">
        <v>185</v>
      </c>
      <c r="J148" s="23">
        <v>0</v>
      </c>
      <c r="K148" s="23">
        <v>0</v>
      </c>
    </row>
    <row r="149" spans="2:11" x14ac:dyDescent="0.3">
      <c r="B149" s="84"/>
      <c r="C149" s="84"/>
      <c r="D149" s="84"/>
      <c r="E149" s="15" t="s">
        <v>271</v>
      </c>
      <c r="F149" s="14" t="s">
        <v>269</v>
      </c>
      <c r="G149" s="13" t="s">
        <v>9</v>
      </c>
      <c r="H149" s="13" t="s">
        <v>9</v>
      </c>
      <c r="I149" s="15" t="s">
        <v>303</v>
      </c>
      <c r="J149" s="23">
        <v>70000</v>
      </c>
      <c r="K149" s="24">
        <v>0</v>
      </c>
    </row>
    <row r="150" spans="2:11" x14ac:dyDescent="0.3">
      <c r="B150" s="84"/>
      <c r="C150" s="84"/>
      <c r="D150" s="84"/>
      <c r="E150" s="15" t="s">
        <v>272</v>
      </c>
      <c r="F150" s="14" t="s">
        <v>269</v>
      </c>
      <c r="G150" s="13" t="s">
        <v>9</v>
      </c>
      <c r="H150" s="13" t="s">
        <v>9</v>
      </c>
      <c r="I150" s="15" t="s">
        <v>304</v>
      </c>
      <c r="J150" s="23">
        <v>0</v>
      </c>
      <c r="K150" s="24">
        <v>70000</v>
      </c>
    </row>
    <row r="151" spans="2:11" x14ac:dyDescent="0.3">
      <c r="B151" s="84"/>
      <c r="C151" s="84"/>
      <c r="D151" s="84"/>
      <c r="E151" s="15" t="s">
        <v>273</v>
      </c>
      <c r="F151" s="14" t="s">
        <v>269</v>
      </c>
      <c r="G151" s="15" t="s">
        <v>168</v>
      </c>
      <c r="H151" s="15" t="s">
        <v>168</v>
      </c>
      <c r="I151" s="15" t="s">
        <v>321</v>
      </c>
      <c r="J151" s="23">
        <v>0</v>
      </c>
      <c r="K151" s="23">
        <v>0</v>
      </c>
    </row>
    <row r="152" spans="2:11" x14ac:dyDescent="0.3">
      <c r="B152" s="84"/>
      <c r="C152" s="84"/>
      <c r="D152" s="84"/>
      <c r="E152" s="15" t="s">
        <v>274</v>
      </c>
      <c r="F152" s="14" t="s">
        <v>269</v>
      </c>
      <c r="G152" s="13" t="s">
        <v>9</v>
      </c>
      <c r="H152" s="13" t="s">
        <v>9</v>
      </c>
      <c r="I152" s="15" t="s">
        <v>322</v>
      </c>
      <c r="J152" s="23">
        <v>0</v>
      </c>
      <c r="K152" s="24">
        <v>70000</v>
      </c>
    </row>
    <row r="153" spans="2:11" x14ac:dyDescent="0.3">
      <c r="B153" s="84"/>
      <c r="C153" s="84"/>
      <c r="D153" s="84"/>
      <c r="E153" s="15" t="s">
        <v>275</v>
      </c>
      <c r="F153" s="14" t="s">
        <v>269</v>
      </c>
      <c r="G153" s="13" t="s">
        <v>9</v>
      </c>
      <c r="H153" s="13" t="s">
        <v>9</v>
      </c>
      <c r="I153" s="16" t="s">
        <v>305</v>
      </c>
      <c r="J153" s="23">
        <v>0</v>
      </c>
      <c r="K153" s="23">
        <v>0</v>
      </c>
    </row>
    <row r="154" spans="2:11" x14ac:dyDescent="0.3">
      <c r="B154" s="84"/>
      <c r="C154" s="84"/>
      <c r="D154" s="84"/>
      <c r="E154" s="15" t="s">
        <v>276</v>
      </c>
      <c r="F154" s="14"/>
      <c r="G154" s="15" t="s">
        <v>168</v>
      </c>
      <c r="H154" s="15" t="s">
        <v>168</v>
      </c>
      <c r="I154" s="16"/>
      <c r="J154" s="24"/>
      <c r="K154" s="23"/>
    </row>
    <row r="155" spans="2:11" x14ac:dyDescent="0.3">
      <c r="B155" s="84"/>
      <c r="C155" s="84"/>
      <c r="D155" s="84"/>
      <c r="E155" s="15" t="s">
        <v>277</v>
      </c>
      <c r="F155" s="14"/>
      <c r="G155" s="15" t="s">
        <v>168</v>
      </c>
      <c r="H155" s="15" t="s">
        <v>168</v>
      </c>
      <c r="I155" s="16"/>
      <c r="J155" s="24"/>
      <c r="K155" s="23"/>
    </row>
    <row r="156" spans="2:11" x14ac:dyDescent="0.3">
      <c r="B156" s="84"/>
      <c r="C156" s="84"/>
      <c r="D156" s="84"/>
      <c r="E156" s="15" t="s">
        <v>278</v>
      </c>
      <c r="F156" s="14"/>
      <c r="G156" s="15" t="s">
        <v>168</v>
      </c>
      <c r="H156" s="15" t="s">
        <v>168</v>
      </c>
      <c r="I156" s="16"/>
      <c r="J156" s="24"/>
      <c r="K156" s="23"/>
    </row>
    <row r="157" spans="2:11" x14ac:dyDescent="0.3">
      <c r="B157" s="84"/>
      <c r="C157" s="85"/>
      <c r="D157" s="85"/>
      <c r="E157" s="15" t="s">
        <v>387</v>
      </c>
      <c r="F157" s="14" t="s">
        <v>269</v>
      </c>
      <c r="G157" s="13" t="s">
        <v>9</v>
      </c>
      <c r="H157" s="14" t="s">
        <v>384</v>
      </c>
      <c r="I157" s="15" t="s">
        <v>386</v>
      </c>
      <c r="J157" s="23">
        <v>0</v>
      </c>
      <c r="K157" s="23">
        <v>30000</v>
      </c>
    </row>
    <row r="158" spans="2:11" x14ac:dyDescent="0.3">
      <c r="B158" s="84"/>
      <c r="C158" s="70" t="s">
        <v>315</v>
      </c>
      <c r="D158" s="70" t="s">
        <v>316</v>
      </c>
      <c r="E158" s="15" t="s">
        <v>314</v>
      </c>
      <c r="F158" s="14" t="s">
        <v>269</v>
      </c>
      <c r="G158" s="4" t="s">
        <v>384</v>
      </c>
      <c r="H158" s="13" t="s">
        <v>9</v>
      </c>
      <c r="I158" s="16"/>
      <c r="J158" s="23">
        <v>70000</v>
      </c>
      <c r="K158" s="23">
        <v>0</v>
      </c>
    </row>
    <row r="159" spans="2:11" x14ac:dyDescent="0.3">
      <c r="B159" s="84"/>
      <c r="C159" s="71"/>
      <c r="D159" s="71"/>
      <c r="E159" s="15" t="s">
        <v>318</v>
      </c>
      <c r="F159" s="14" t="s">
        <v>269</v>
      </c>
      <c r="G159" s="4" t="s">
        <v>384</v>
      </c>
      <c r="H159" s="13" t="s">
        <v>9</v>
      </c>
      <c r="I159" s="16"/>
      <c r="J159" s="23">
        <v>30000</v>
      </c>
      <c r="K159" s="23">
        <v>0</v>
      </c>
    </row>
    <row r="160" spans="2:11" x14ac:dyDescent="0.3">
      <c r="B160" s="84"/>
      <c r="C160" s="71"/>
      <c r="D160" s="71"/>
      <c r="E160" s="15" t="s">
        <v>319</v>
      </c>
      <c r="F160" s="14" t="s">
        <v>269</v>
      </c>
      <c r="G160" s="4" t="s">
        <v>384</v>
      </c>
      <c r="H160" s="13" t="s">
        <v>9</v>
      </c>
      <c r="I160" s="16"/>
      <c r="J160" s="67">
        <v>60000</v>
      </c>
      <c r="K160" s="23">
        <v>0</v>
      </c>
    </row>
    <row r="161" spans="2:11" x14ac:dyDescent="0.3">
      <c r="B161" s="85"/>
      <c r="C161" s="72"/>
      <c r="D161" s="72"/>
      <c r="E161" s="15" t="s">
        <v>377</v>
      </c>
      <c r="F161" s="14" t="s">
        <v>378</v>
      </c>
      <c r="G161" s="4" t="s">
        <v>384</v>
      </c>
      <c r="H161" s="13" t="s">
        <v>9</v>
      </c>
      <c r="I161" s="16"/>
      <c r="J161" s="68"/>
      <c r="K161" s="23">
        <v>0</v>
      </c>
    </row>
    <row r="162" spans="2:11" x14ac:dyDescent="0.3">
      <c r="B162" s="73" t="s">
        <v>376</v>
      </c>
      <c r="C162" s="74"/>
      <c r="D162" s="75"/>
      <c r="E162" s="15" t="s">
        <v>373</v>
      </c>
      <c r="F162" s="14" t="s">
        <v>378</v>
      </c>
      <c r="G162" s="13" t="s">
        <v>9</v>
      </c>
      <c r="H162" s="13" t="s">
        <v>9</v>
      </c>
      <c r="I162" s="15" t="s">
        <v>375</v>
      </c>
      <c r="J162" s="66">
        <v>200000</v>
      </c>
      <c r="K162" s="23">
        <v>0</v>
      </c>
    </row>
    <row r="163" spans="2:11" x14ac:dyDescent="0.3">
      <c r="B163" s="76"/>
      <c r="C163" s="77"/>
      <c r="D163" s="78"/>
      <c r="E163" s="15" t="s">
        <v>374</v>
      </c>
      <c r="F163" s="14" t="s">
        <v>378</v>
      </c>
      <c r="G163" s="13" t="s">
        <v>9</v>
      </c>
      <c r="H163" s="13" t="s">
        <v>9</v>
      </c>
      <c r="I163" s="16"/>
      <c r="J163" s="66"/>
      <c r="K163" s="23">
        <v>0</v>
      </c>
    </row>
    <row r="165" spans="2:11" x14ac:dyDescent="0.3">
      <c r="J165" s="25">
        <f>SUM(J2:J163)</f>
        <v>6230000</v>
      </c>
      <c r="K165" s="25">
        <f>SUM(K2:K163)</f>
        <v>680000</v>
      </c>
    </row>
    <row r="167" spans="2:11" x14ac:dyDescent="0.3">
      <c r="I167" s="28" t="s">
        <v>369</v>
      </c>
      <c r="J167" s="29">
        <f>엔젤!C21</f>
        <v>1740000</v>
      </c>
    </row>
    <row r="168" spans="2:11" x14ac:dyDescent="0.3">
      <c r="I168" s="28" t="s">
        <v>370</v>
      </c>
      <c r="J168" s="29">
        <v>3000000</v>
      </c>
    </row>
    <row r="169" spans="2:11" x14ac:dyDescent="0.3">
      <c r="I169" s="28"/>
      <c r="J169" s="29"/>
    </row>
    <row r="170" spans="2:11" x14ac:dyDescent="0.3">
      <c r="I170" s="28"/>
      <c r="J170" s="29"/>
    </row>
    <row r="172" spans="2:11" x14ac:dyDescent="0.3">
      <c r="J172" s="25">
        <f>SUM(J165:J170)</f>
        <v>10970000</v>
      </c>
    </row>
  </sheetData>
  <autoFilter ref="B1:K163" xr:uid="{00000000-0001-0000-0000-000000000000}"/>
  <mergeCells count="87">
    <mergeCell ref="K134:K135"/>
    <mergeCell ref="K90:K91"/>
    <mergeCell ref="K105:K106"/>
    <mergeCell ref="K107:K109"/>
    <mergeCell ref="K111:K112"/>
    <mergeCell ref="K114:K115"/>
    <mergeCell ref="K100:K104"/>
    <mergeCell ref="K119:K123"/>
    <mergeCell ref="K130:K131"/>
    <mergeCell ref="K132:K133"/>
    <mergeCell ref="K48:K49"/>
    <mergeCell ref="K53:K57"/>
    <mergeCell ref="K74:K77"/>
    <mergeCell ref="K82:K86"/>
    <mergeCell ref="K87:K89"/>
    <mergeCell ref="K32:K35"/>
    <mergeCell ref="K36:K37"/>
    <mergeCell ref="K38:K39"/>
    <mergeCell ref="K42:K45"/>
    <mergeCell ref="K46:K47"/>
    <mergeCell ref="K7:K9"/>
    <mergeCell ref="K10:K13"/>
    <mergeCell ref="K22:K25"/>
    <mergeCell ref="K27:K28"/>
    <mergeCell ref="K30:K31"/>
    <mergeCell ref="J134:J135"/>
    <mergeCell ref="J114:J115"/>
    <mergeCell ref="J74:J77"/>
    <mergeCell ref="J82:J86"/>
    <mergeCell ref="J90:J91"/>
    <mergeCell ref="J107:J109"/>
    <mergeCell ref="J111:J112"/>
    <mergeCell ref="J87:J89"/>
    <mergeCell ref="J100:J104"/>
    <mergeCell ref="J105:J106"/>
    <mergeCell ref="J53:J57"/>
    <mergeCell ref="J48:J49"/>
    <mergeCell ref="J119:J123"/>
    <mergeCell ref="J130:J131"/>
    <mergeCell ref="J132:J133"/>
    <mergeCell ref="J58:J59"/>
    <mergeCell ref="B2:D3"/>
    <mergeCell ref="J36:J37"/>
    <mergeCell ref="J38:J39"/>
    <mergeCell ref="J42:J45"/>
    <mergeCell ref="J46:J47"/>
    <mergeCell ref="J20:J21"/>
    <mergeCell ref="J22:J25"/>
    <mergeCell ref="J27:J28"/>
    <mergeCell ref="J30:J31"/>
    <mergeCell ref="J32:J35"/>
    <mergeCell ref="J7:J9"/>
    <mergeCell ref="J4:J5"/>
    <mergeCell ref="J10:J13"/>
    <mergeCell ref="J14:J16"/>
    <mergeCell ref="J17:J19"/>
    <mergeCell ref="B4:B73"/>
    <mergeCell ref="B74:B110"/>
    <mergeCell ref="D111:D118"/>
    <mergeCell ref="C111:C118"/>
    <mergeCell ref="D119:D127"/>
    <mergeCell ref="C119:C127"/>
    <mergeCell ref="B111:B161"/>
    <mergeCell ref="D146:D157"/>
    <mergeCell ref="C146:C157"/>
    <mergeCell ref="D4:D21"/>
    <mergeCell ref="C4:C21"/>
    <mergeCell ref="D22:D35"/>
    <mergeCell ref="C22:C35"/>
    <mergeCell ref="D36:D52"/>
    <mergeCell ref="C36:C52"/>
    <mergeCell ref="J162:J163"/>
    <mergeCell ref="J160:J161"/>
    <mergeCell ref="J60:J62"/>
    <mergeCell ref="D158:D161"/>
    <mergeCell ref="C158:C161"/>
    <mergeCell ref="B162:D163"/>
    <mergeCell ref="C74:C94"/>
    <mergeCell ref="D95:D110"/>
    <mergeCell ref="C95:C110"/>
    <mergeCell ref="D128:D135"/>
    <mergeCell ref="C128:C135"/>
    <mergeCell ref="D136:D145"/>
    <mergeCell ref="C136:C145"/>
    <mergeCell ref="D53:D73"/>
    <mergeCell ref="C53:C73"/>
    <mergeCell ref="D74:D9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1BCB-26EE-4722-AD91-B6ECAD244B19}">
  <dimension ref="B2:C21"/>
  <sheetViews>
    <sheetView workbookViewId="0">
      <selection activeCell="C15" sqref="C15"/>
    </sheetView>
  </sheetViews>
  <sheetFormatPr defaultRowHeight="16.5" x14ac:dyDescent="0.3"/>
  <cols>
    <col min="3" max="3" width="10.875" bestFit="1" customWidth="1"/>
  </cols>
  <sheetData>
    <row r="2" spans="2:3" x14ac:dyDescent="0.3">
      <c r="B2" s="26" t="s">
        <v>311</v>
      </c>
      <c r="C2" s="27">
        <v>100000</v>
      </c>
    </row>
    <row r="3" spans="2:3" x14ac:dyDescent="0.3">
      <c r="B3" s="26" t="s">
        <v>312</v>
      </c>
      <c r="C3" s="27">
        <v>150000</v>
      </c>
    </row>
    <row r="4" spans="2:3" x14ac:dyDescent="0.3">
      <c r="B4" s="26" t="s">
        <v>313</v>
      </c>
      <c r="C4" s="27">
        <v>100000</v>
      </c>
    </row>
    <row r="5" spans="2:3" x14ac:dyDescent="0.3">
      <c r="B5" s="26" t="s">
        <v>368</v>
      </c>
      <c r="C5" s="27">
        <v>100000</v>
      </c>
    </row>
    <row r="6" spans="2:3" x14ac:dyDescent="0.3">
      <c r="B6" s="26" t="s">
        <v>320</v>
      </c>
      <c r="C6" s="27">
        <v>100000</v>
      </c>
    </row>
    <row r="7" spans="2:3" x14ac:dyDescent="0.3">
      <c r="B7" s="26" t="s">
        <v>379</v>
      </c>
      <c r="C7" s="27">
        <v>70000</v>
      </c>
    </row>
    <row r="8" spans="2:3" x14ac:dyDescent="0.3">
      <c r="B8" s="26" t="s">
        <v>380</v>
      </c>
      <c r="C8" s="27">
        <v>500000</v>
      </c>
    </row>
    <row r="9" spans="2:3" x14ac:dyDescent="0.3">
      <c r="B9" s="26" t="s">
        <v>381</v>
      </c>
      <c r="C9" s="27">
        <v>100000</v>
      </c>
    </row>
    <row r="10" spans="2:3" x14ac:dyDescent="0.3">
      <c r="B10" s="26" t="s">
        <v>382</v>
      </c>
      <c r="C10" s="27">
        <v>60000</v>
      </c>
    </row>
    <row r="11" spans="2:3" x14ac:dyDescent="0.3">
      <c r="B11" s="26" t="s">
        <v>385</v>
      </c>
      <c r="C11" s="27">
        <v>160000</v>
      </c>
    </row>
    <row r="12" spans="2:3" x14ac:dyDescent="0.3">
      <c r="B12" s="26" t="s">
        <v>396</v>
      </c>
      <c r="C12" s="27">
        <v>100000</v>
      </c>
    </row>
    <row r="13" spans="2:3" x14ac:dyDescent="0.3">
      <c r="B13" s="26" t="s">
        <v>397</v>
      </c>
      <c r="C13" s="27">
        <v>100000</v>
      </c>
    </row>
    <row r="14" spans="2:3" x14ac:dyDescent="0.3">
      <c r="B14" s="26" t="s">
        <v>398</v>
      </c>
      <c r="C14" s="27">
        <v>100000</v>
      </c>
    </row>
    <row r="15" spans="2:3" x14ac:dyDescent="0.3">
      <c r="B15" s="26"/>
      <c r="C15" s="27"/>
    </row>
    <row r="16" spans="2:3" x14ac:dyDescent="0.3">
      <c r="B16" s="26"/>
      <c r="C16" s="27"/>
    </row>
    <row r="17" spans="2:3" x14ac:dyDescent="0.3">
      <c r="B17" s="26"/>
      <c r="C17" s="27"/>
    </row>
    <row r="18" spans="2:3" x14ac:dyDescent="0.3">
      <c r="B18" s="26"/>
      <c r="C18" s="27"/>
    </row>
    <row r="19" spans="2:3" x14ac:dyDescent="0.3">
      <c r="B19" s="26"/>
      <c r="C19" s="27"/>
    </row>
    <row r="21" spans="2:3" x14ac:dyDescent="0.3">
      <c r="C21" s="64">
        <f>SUM(C2:C14)</f>
        <v>1740000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63AC-A262-453B-9E20-6DBE0B274B5C}">
  <dimension ref="A1:F20"/>
  <sheetViews>
    <sheetView workbookViewId="0">
      <selection activeCell="F14" sqref="F14"/>
    </sheetView>
  </sheetViews>
  <sheetFormatPr defaultRowHeight="16.5" x14ac:dyDescent="0.3"/>
  <cols>
    <col min="1" max="1" width="5.875" bestFit="1" customWidth="1"/>
    <col min="2" max="2" width="22.375" customWidth="1"/>
    <col min="3" max="3" width="13.625" style="27" bestFit="1" customWidth="1"/>
    <col min="4" max="4" width="13.625" style="27" customWidth="1"/>
    <col min="5" max="5" width="13.625" style="27" hidden="1" customWidth="1"/>
    <col min="6" max="6" width="79.25" customWidth="1"/>
  </cols>
  <sheetData>
    <row r="1" spans="1:6" ht="27" thickBot="1" x14ac:dyDescent="0.35">
      <c r="A1" s="94" t="s">
        <v>326</v>
      </c>
      <c r="B1" s="94"/>
      <c r="C1" s="94"/>
      <c r="D1" s="94"/>
      <c r="E1" s="94"/>
      <c r="F1" s="94"/>
    </row>
    <row r="2" spans="1:6" x14ac:dyDescent="0.3">
      <c r="A2" s="95" t="s">
        <v>327</v>
      </c>
      <c r="B2" s="96"/>
      <c r="C2" s="32" t="s">
        <v>328</v>
      </c>
      <c r="D2" s="33" t="s">
        <v>329</v>
      </c>
      <c r="E2" s="32" t="s">
        <v>330</v>
      </c>
      <c r="F2" s="34" t="s">
        <v>331</v>
      </c>
    </row>
    <row r="3" spans="1:6" x14ac:dyDescent="0.3">
      <c r="A3" s="97" t="s">
        <v>332</v>
      </c>
      <c r="B3" s="35" t="s">
        <v>333</v>
      </c>
      <c r="C3" s="36">
        <v>6940000</v>
      </c>
      <c r="D3" s="37">
        <v>6940000</v>
      </c>
      <c r="E3" s="36">
        <v>7160000</v>
      </c>
      <c r="F3" s="38" t="s">
        <v>334</v>
      </c>
    </row>
    <row r="4" spans="1:6" x14ac:dyDescent="0.3">
      <c r="A4" s="97"/>
      <c r="B4" s="35" t="s">
        <v>335</v>
      </c>
      <c r="C4" s="36">
        <v>3000000</v>
      </c>
      <c r="D4" s="37">
        <v>3000000</v>
      </c>
      <c r="E4" s="36">
        <v>3000000</v>
      </c>
      <c r="F4" s="38" t="s">
        <v>336</v>
      </c>
    </row>
    <row r="5" spans="1:6" x14ac:dyDescent="0.3">
      <c r="A5" s="97"/>
      <c r="B5" s="35" t="s">
        <v>337</v>
      </c>
      <c r="C5" s="39">
        <v>2570000</v>
      </c>
      <c r="D5" s="37">
        <v>2570000</v>
      </c>
      <c r="E5" s="36">
        <v>4700000</v>
      </c>
      <c r="F5" s="38" t="s">
        <v>338</v>
      </c>
    </row>
    <row r="6" spans="1:6" x14ac:dyDescent="0.3">
      <c r="A6" s="97"/>
      <c r="B6" s="35" t="s">
        <v>339</v>
      </c>
      <c r="C6" s="39">
        <v>0</v>
      </c>
      <c r="D6" s="37">
        <v>7164</v>
      </c>
      <c r="E6" s="36">
        <v>0</v>
      </c>
      <c r="F6" s="38" t="s">
        <v>340</v>
      </c>
    </row>
    <row r="7" spans="1:6" ht="17.25" thickBot="1" x14ac:dyDescent="0.35">
      <c r="A7" s="98"/>
      <c r="B7" s="40" t="s">
        <v>341</v>
      </c>
      <c r="C7" s="41">
        <f>SUM(C3:C6)</f>
        <v>12510000</v>
      </c>
      <c r="D7" s="42">
        <f>SUM(D3:D6)</f>
        <v>12517164</v>
      </c>
      <c r="E7" s="43">
        <f>SUM(E3:E6)</f>
        <v>14860000</v>
      </c>
      <c r="F7" s="44"/>
    </row>
    <row r="8" spans="1:6" x14ac:dyDescent="0.3">
      <c r="A8" s="95" t="s">
        <v>342</v>
      </c>
      <c r="B8" s="45" t="s">
        <v>343</v>
      </c>
      <c r="C8" s="46">
        <v>1360000</v>
      </c>
      <c r="D8" s="37">
        <v>1360000</v>
      </c>
      <c r="E8" s="100">
        <v>6150000</v>
      </c>
      <c r="F8" s="47" t="s">
        <v>344</v>
      </c>
    </row>
    <row r="9" spans="1:6" x14ac:dyDescent="0.3">
      <c r="A9" s="97"/>
      <c r="B9" s="48" t="s">
        <v>345</v>
      </c>
      <c r="C9" s="39">
        <v>910000</v>
      </c>
      <c r="D9" s="37">
        <v>910000</v>
      </c>
      <c r="E9" s="101"/>
      <c r="F9" s="38" t="s">
        <v>346</v>
      </c>
    </row>
    <row r="10" spans="1:6" x14ac:dyDescent="0.3">
      <c r="A10" s="97"/>
      <c r="B10" s="48" t="s">
        <v>347</v>
      </c>
      <c r="C10" s="39">
        <v>990000</v>
      </c>
      <c r="D10" s="37">
        <v>990000</v>
      </c>
      <c r="E10" s="101"/>
      <c r="F10" s="38" t="s">
        <v>348</v>
      </c>
    </row>
    <row r="11" spans="1:6" ht="33" x14ac:dyDescent="0.3">
      <c r="A11" s="97"/>
      <c r="B11" s="48" t="s">
        <v>349</v>
      </c>
      <c r="C11" s="39">
        <v>100000</v>
      </c>
      <c r="D11" s="37">
        <v>100000</v>
      </c>
      <c r="E11" s="49"/>
      <c r="F11" s="50" t="s">
        <v>350</v>
      </c>
    </row>
    <row r="12" spans="1:6" x14ac:dyDescent="0.3">
      <c r="A12" s="97"/>
      <c r="B12" s="48" t="s">
        <v>351</v>
      </c>
      <c r="C12" s="39">
        <v>1890000</v>
      </c>
      <c r="D12" s="37">
        <v>1890000</v>
      </c>
      <c r="E12" s="36">
        <v>3864000</v>
      </c>
      <c r="F12" s="38" t="s">
        <v>352</v>
      </c>
    </row>
    <row r="13" spans="1:6" x14ac:dyDescent="0.3">
      <c r="A13" s="97"/>
      <c r="B13" s="48" t="s">
        <v>353</v>
      </c>
      <c r="C13" s="39">
        <v>1686000</v>
      </c>
      <c r="D13" s="37">
        <v>1300000</v>
      </c>
      <c r="E13" s="36">
        <v>0</v>
      </c>
      <c r="F13" s="38" t="s">
        <v>354</v>
      </c>
    </row>
    <row r="14" spans="1:6" x14ac:dyDescent="0.3">
      <c r="A14" s="97"/>
      <c r="B14" s="48" t="s">
        <v>355</v>
      </c>
      <c r="C14" s="39">
        <v>2000000</v>
      </c>
      <c r="D14" s="37">
        <v>2684245</v>
      </c>
      <c r="E14" s="36">
        <v>793000</v>
      </c>
      <c r="F14" s="38" t="s">
        <v>356</v>
      </c>
    </row>
    <row r="15" spans="1:6" x14ac:dyDescent="0.3">
      <c r="A15" s="97"/>
      <c r="B15" s="48" t="s">
        <v>357</v>
      </c>
      <c r="C15" s="39">
        <v>700000</v>
      </c>
      <c r="D15" s="37">
        <v>700000</v>
      </c>
      <c r="E15" s="36">
        <v>1200000</v>
      </c>
      <c r="F15" s="38" t="s">
        <v>358</v>
      </c>
    </row>
    <row r="16" spans="1:6" x14ac:dyDescent="0.3">
      <c r="A16" s="97"/>
      <c r="B16" s="48" t="s">
        <v>359</v>
      </c>
      <c r="C16" s="39">
        <v>100000</v>
      </c>
      <c r="D16" s="37">
        <v>118070</v>
      </c>
      <c r="E16" s="39">
        <v>104250</v>
      </c>
      <c r="F16" s="38" t="s">
        <v>360</v>
      </c>
    </row>
    <row r="17" spans="1:6" x14ac:dyDescent="0.3">
      <c r="A17" s="97"/>
      <c r="B17" s="48" t="s">
        <v>361</v>
      </c>
      <c r="C17" s="51">
        <v>350000</v>
      </c>
      <c r="D17" s="52">
        <v>340000</v>
      </c>
      <c r="E17" s="53">
        <v>140000</v>
      </c>
      <c r="F17" s="54" t="s">
        <v>362</v>
      </c>
    </row>
    <row r="18" spans="1:6" x14ac:dyDescent="0.3">
      <c r="A18" s="99"/>
      <c r="B18" s="55" t="s">
        <v>363</v>
      </c>
      <c r="C18" s="56">
        <v>100000</v>
      </c>
      <c r="D18" s="57">
        <v>123467</v>
      </c>
      <c r="E18" s="58"/>
      <c r="F18" s="59" t="s">
        <v>364</v>
      </c>
    </row>
    <row r="19" spans="1:6" ht="17.25" thickBot="1" x14ac:dyDescent="0.35">
      <c r="A19" s="98"/>
      <c r="B19" s="40" t="s">
        <v>365</v>
      </c>
      <c r="C19" s="43">
        <f>SUM(C8:C18)</f>
        <v>10186000</v>
      </c>
      <c r="D19" s="42">
        <f>SUM(D8:D18)</f>
        <v>10515782</v>
      </c>
      <c r="E19" s="43">
        <f>SUM(E8:E17)</f>
        <v>12251250</v>
      </c>
      <c r="F19" s="44"/>
    </row>
    <row r="20" spans="1:6" ht="18" thickBot="1" x14ac:dyDescent="0.35">
      <c r="A20" s="92" t="s">
        <v>366</v>
      </c>
      <c r="B20" s="93"/>
      <c r="C20" s="60">
        <f>C7-C19</f>
        <v>2324000</v>
      </c>
      <c r="D20" s="61">
        <f>D7-D19</f>
        <v>2001382</v>
      </c>
      <c r="E20" s="60">
        <f>E7-E19</f>
        <v>2608750</v>
      </c>
      <c r="F20" s="62" t="s">
        <v>367</v>
      </c>
    </row>
  </sheetData>
  <mergeCells count="6">
    <mergeCell ref="A20:B20"/>
    <mergeCell ref="A1:F1"/>
    <mergeCell ref="A2:B2"/>
    <mergeCell ref="A3:A7"/>
    <mergeCell ref="A8:A19"/>
    <mergeCell ref="E8:E1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49CF-A7C1-4BC1-9212-EEDB56C7968C}">
  <dimension ref="B2:X23"/>
  <sheetViews>
    <sheetView topLeftCell="D1" workbookViewId="0">
      <selection activeCell="N2" sqref="N2:X23"/>
    </sheetView>
  </sheetViews>
  <sheetFormatPr defaultRowHeight="16.5" x14ac:dyDescent="0.3"/>
  <cols>
    <col min="1" max="1" width="3.875" style="2" customWidth="1"/>
    <col min="2" max="16384" width="9" style="2"/>
  </cols>
  <sheetData>
    <row r="2" spans="2:24" x14ac:dyDescent="0.3">
      <c r="B2" s="65" t="s">
        <v>269</v>
      </c>
      <c r="N2" s="65" t="s">
        <v>282</v>
      </c>
      <c r="Q2" s="65" t="s">
        <v>279</v>
      </c>
      <c r="T2" s="65" t="s">
        <v>281</v>
      </c>
      <c r="W2" s="65" t="s">
        <v>280</v>
      </c>
    </row>
    <row r="3" spans="2:24" x14ac:dyDescent="0.3">
      <c r="B3" s="65" t="s">
        <v>394</v>
      </c>
      <c r="H3" s="65" t="s">
        <v>395</v>
      </c>
      <c r="N3" s="65" t="s">
        <v>392</v>
      </c>
      <c r="O3" s="65" t="s">
        <v>393</v>
      </c>
      <c r="Q3" s="65" t="s">
        <v>390</v>
      </c>
      <c r="R3" s="65" t="s">
        <v>390</v>
      </c>
      <c r="T3" s="65" t="s">
        <v>391</v>
      </c>
      <c r="U3" s="65" t="s">
        <v>392</v>
      </c>
      <c r="W3" s="65" t="s">
        <v>391</v>
      </c>
      <c r="X3" s="65" t="s">
        <v>391</v>
      </c>
    </row>
    <row r="4" spans="2:24" x14ac:dyDescent="0.3">
      <c r="B4" s="65" t="s">
        <v>389</v>
      </c>
      <c r="H4" s="65" t="s">
        <v>388</v>
      </c>
      <c r="N4" s="65" t="s">
        <v>389</v>
      </c>
      <c r="O4" s="65" t="s">
        <v>388</v>
      </c>
      <c r="Q4" s="65" t="s">
        <v>389</v>
      </c>
      <c r="R4" s="65" t="s">
        <v>388</v>
      </c>
      <c r="T4" s="65" t="s">
        <v>389</v>
      </c>
      <c r="U4" s="65" t="s">
        <v>388</v>
      </c>
      <c r="W4" s="65" t="s">
        <v>389</v>
      </c>
      <c r="X4" s="65" t="s">
        <v>388</v>
      </c>
    </row>
    <row r="5" spans="2:24" x14ac:dyDescent="0.3">
      <c r="B5" s="4" t="s">
        <v>307</v>
      </c>
      <c r="C5" s="3" t="s">
        <v>46</v>
      </c>
      <c r="D5" s="3" t="s">
        <v>91</v>
      </c>
      <c r="E5" s="13" t="s">
        <v>112</v>
      </c>
      <c r="F5" s="15" t="s">
        <v>272</v>
      </c>
      <c r="H5" s="4" t="s">
        <v>307</v>
      </c>
      <c r="I5" s="3" t="s">
        <v>40</v>
      </c>
      <c r="J5" s="3" t="s">
        <v>84</v>
      </c>
      <c r="K5" s="13" t="s">
        <v>116</v>
      </c>
      <c r="L5" s="13" t="s">
        <v>142</v>
      </c>
      <c r="N5" s="3" t="s">
        <v>49</v>
      </c>
      <c r="O5" s="3" t="s">
        <v>49</v>
      </c>
      <c r="Q5" s="3" t="s">
        <v>13</v>
      </c>
      <c r="R5" s="3" t="s">
        <v>13</v>
      </c>
      <c r="T5" s="3" t="s">
        <v>36</v>
      </c>
      <c r="U5" s="3" t="s">
        <v>20</v>
      </c>
      <c r="W5" s="3" t="s">
        <v>25</v>
      </c>
      <c r="X5" s="3" t="s">
        <v>25</v>
      </c>
    </row>
    <row r="6" spans="2:24" x14ac:dyDescent="0.3">
      <c r="B6" s="4" t="s">
        <v>308</v>
      </c>
      <c r="C6" s="3" t="s">
        <v>47</v>
      </c>
      <c r="D6" s="3" t="s">
        <v>92</v>
      </c>
      <c r="E6" s="13" t="s">
        <v>122</v>
      </c>
      <c r="F6" s="15" t="s">
        <v>274</v>
      </c>
      <c r="H6" s="4" t="s">
        <v>308</v>
      </c>
      <c r="I6" s="3" t="s">
        <v>41</v>
      </c>
      <c r="J6" s="4" t="s">
        <v>252</v>
      </c>
      <c r="K6" s="13" t="s">
        <v>119</v>
      </c>
      <c r="L6" s="13" t="s">
        <v>145</v>
      </c>
      <c r="N6" s="3" t="s">
        <v>57</v>
      </c>
      <c r="O6" s="3" t="s">
        <v>57</v>
      </c>
      <c r="Q6" s="3" t="s">
        <v>14</v>
      </c>
      <c r="R6" s="3" t="s">
        <v>14</v>
      </c>
      <c r="T6" s="3" t="s">
        <v>54</v>
      </c>
      <c r="U6" s="3" t="s">
        <v>36</v>
      </c>
      <c r="W6" s="4" t="s">
        <v>164</v>
      </c>
      <c r="X6" s="4" t="s">
        <v>164</v>
      </c>
    </row>
    <row r="7" spans="2:24" x14ac:dyDescent="0.3">
      <c r="B7" s="3" t="s">
        <v>8</v>
      </c>
      <c r="C7" s="3" t="s">
        <v>48</v>
      </c>
      <c r="D7" s="3" t="s">
        <v>95</v>
      </c>
      <c r="E7" s="13" t="s">
        <v>123</v>
      </c>
      <c r="F7" s="15" t="s">
        <v>275</v>
      </c>
      <c r="H7" s="3" t="s">
        <v>8</v>
      </c>
      <c r="I7" s="3" t="s">
        <v>46</v>
      </c>
      <c r="J7" s="3" t="s">
        <v>89</v>
      </c>
      <c r="K7" s="13" t="s">
        <v>117</v>
      </c>
      <c r="L7" s="13" t="s">
        <v>146</v>
      </c>
      <c r="N7" s="4" t="s">
        <v>158</v>
      </c>
      <c r="O7" s="4" t="s">
        <v>158</v>
      </c>
      <c r="Q7" s="3" t="s">
        <v>17</v>
      </c>
      <c r="R7" s="3" t="s">
        <v>17</v>
      </c>
      <c r="T7" s="3" t="s">
        <v>55</v>
      </c>
      <c r="U7" s="3" t="s">
        <v>54</v>
      </c>
      <c r="W7" s="3" t="s">
        <v>104</v>
      </c>
      <c r="X7" s="3" t="s">
        <v>104</v>
      </c>
    </row>
    <row r="8" spans="2:24" x14ac:dyDescent="0.3">
      <c r="B8" s="3" t="s">
        <v>10</v>
      </c>
      <c r="C8" s="3" t="s">
        <v>52</v>
      </c>
      <c r="D8" s="3" t="s">
        <v>96</v>
      </c>
      <c r="E8" s="13" t="s">
        <v>124</v>
      </c>
      <c r="F8" s="15" t="s">
        <v>387</v>
      </c>
      <c r="H8" s="3" t="s">
        <v>10</v>
      </c>
      <c r="I8" s="3" t="s">
        <v>47</v>
      </c>
      <c r="J8" s="3" t="s">
        <v>90</v>
      </c>
      <c r="K8" s="13" t="s">
        <v>118</v>
      </c>
      <c r="L8" s="15" t="s">
        <v>271</v>
      </c>
      <c r="N8" s="4" t="s">
        <v>159</v>
      </c>
      <c r="O8" s="4" t="s">
        <v>159</v>
      </c>
      <c r="Q8" s="3" t="s">
        <v>18</v>
      </c>
      <c r="R8" s="3" t="s">
        <v>18</v>
      </c>
      <c r="T8" s="14" t="s">
        <v>155</v>
      </c>
      <c r="U8" s="3" t="s">
        <v>55</v>
      </c>
      <c r="W8" s="14" t="s">
        <v>152</v>
      </c>
      <c r="X8" s="14" t="s">
        <v>152</v>
      </c>
    </row>
    <row r="9" spans="2:24" x14ac:dyDescent="0.3">
      <c r="B9" s="3" t="s">
        <v>12</v>
      </c>
      <c r="C9" s="3" t="s">
        <v>53</v>
      </c>
      <c r="D9" s="3" t="s">
        <v>97</v>
      </c>
      <c r="E9" s="13" t="s">
        <v>125</v>
      </c>
      <c r="F9" s="15" t="s">
        <v>373</v>
      </c>
      <c r="H9" s="3" t="s">
        <v>12</v>
      </c>
      <c r="I9" s="3" t="s">
        <v>48</v>
      </c>
      <c r="J9" s="3" t="s">
        <v>91</v>
      </c>
      <c r="K9" s="13" t="s">
        <v>112</v>
      </c>
      <c r="L9" s="15" t="s">
        <v>272</v>
      </c>
      <c r="N9" s="13" t="s">
        <v>139</v>
      </c>
      <c r="O9" s="4" t="s">
        <v>160</v>
      </c>
      <c r="Q9" s="3" t="s">
        <v>32</v>
      </c>
      <c r="R9" s="3" t="s">
        <v>32</v>
      </c>
      <c r="T9" s="14" t="s">
        <v>151</v>
      </c>
      <c r="U9" s="14" t="s">
        <v>155</v>
      </c>
      <c r="W9" s="15" t="s">
        <v>186</v>
      </c>
      <c r="X9" s="15" t="s">
        <v>186</v>
      </c>
    </row>
    <row r="10" spans="2:24" x14ac:dyDescent="0.3">
      <c r="B10" s="3" t="s">
        <v>15</v>
      </c>
      <c r="C10" s="3" t="s">
        <v>56</v>
      </c>
      <c r="D10" s="3" t="s">
        <v>98</v>
      </c>
      <c r="E10" s="13" t="s">
        <v>129</v>
      </c>
      <c r="F10" s="15" t="s">
        <v>374</v>
      </c>
      <c r="H10" s="3" t="s">
        <v>15</v>
      </c>
      <c r="I10" s="3" t="s">
        <v>52</v>
      </c>
      <c r="J10" s="3" t="s">
        <v>92</v>
      </c>
      <c r="K10" s="13" t="s">
        <v>122</v>
      </c>
      <c r="L10" s="15" t="s">
        <v>274</v>
      </c>
      <c r="N10" s="13" t="s">
        <v>147</v>
      </c>
      <c r="O10" s="13" t="s">
        <v>139</v>
      </c>
      <c r="Q10" s="3" t="s">
        <v>33</v>
      </c>
      <c r="R10" s="3" t="s">
        <v>33</v>
      </c>
      <c r="U10" s="14" t="s">
        <v>151</v>
      </c>
    </row>
    <row r="11" spans="2:24" x14ac:dyDescent="0.3">
      <c r="B11" s="3" t="s">
        <v>16</v>
      </c>
      <c r="C11" s="3" t="s">
        <v>58</v>
      </c>
      <c r="D11" s="3" t="s">
        <v>100</v>
      </c>
      <c r="E11" s="13" t="s">
        <v>130</v>
      </c>
      <c r="H11" s="3" t="s">
        <v>16</v>
      </c>
      <c r="I11" s="3" t="s">
        <v>53</v>
      </c>
      <c r="J11" s="3" t="s">
        <v>95</v>
      </c>
      <c r="K11" s="13" t="s">
        <v>123</v>
      </c>
      <c r="L11" s="15" t="s">
        <v>275</v>
      </c>
      <c r="O11" s="13" t="s">
        <v>147</v>
      </c>
      <c r="Q11" s="3" t="s">
        <v>39</v>
      </c>
      <c r="R11" s="3" t="s">
        <v>39</v>
      </c>
    </row>
    <row r="12" spans="2:24" x14ac:dyDescent="0.3">
      <c r="B12" s="3" t="s">
        <v>23</v>
      </c>
      <c r="C12" s="3" t="s">
        <v>59</v>
      </c>
      <c r="D12" s="3" t="s">
        <v>101</v>
      </c>
      <c r="E12" s="13" t="s">
        <v>131</v>
      </c>
      <c r="H12" s="3" t="s">
        <v>19</v>
      </c>
      <c r="I12" s="3" t="s">
        <v>56</v>
      </c>
      <c r="J12" s="3" t="s">
        <v>96</v>
      </c>
      <c r="K12" s="13" t="s">
        <v>124</v>
      </c>
      <c r="L12" s="15" t="s">
        <v>314</v>
      </c>
      <c r="Q12" s="3" t="s">
        <v>42</v>
      </c>
      <c r="R12" s="3" t="s">
        <v>42</v>
      </c>
    </row>
    <row r="13" spans="2:24" x14ac:dyDescent="0.3">
      <c r="B13" s="3" t="s">
        <v>24</v>
      </c>
      <c r="C13" s="3" t="s">
        <v>65</v>
      </c>
      <c r="D13" s="3" t="s">
        <v>105</v>
      </c>
      <c r="E13" s="13" t="s">
        <v>132</v>
      </c>
      <c r="H13" s="3" t="s">
        <v>21</v>
      </c>
      <c r="I13" s="3" t="s">
        <v>58</v>
      </c>
      <c r="J13" s="3" t="s">
        <v>97</v>
      </c>
      <c r="K13" s="13" t="s">
        <v>125</v>
      </c>
      <c r="L13" s="15" t="s">
        <v>318</v>
      </c>
      <c r="Q13" s="3" t="s">
        <v>43</v>
      </c>
      <c r="R13" s="3" t="s">
        <v>43</v>
      </c>
    </row>
    <row r="14" spans="2:24" x14ac:dyDescent="0.3">
      <c r="B14" s="3" t="s">
        <v>26</v>
      </c>
      <c r="C14" s="3" t="s">
        <v>66</v>
      </c>
      <c r="D14" s="3" t="s">
        <v>106</v>
      </c>
      <c r="E14" s="13" t="s">
        <v>133</v>
      </c>
      <c r="H14" s="3" t="s">
        <v>23</v>
      </c>
      <c r="I14" s="3" t="s">
        <v>59</v>
      </c>
      <c r="J14" s="3" t="s">
        <v>98</v>
      </c>
      <c r="K14" s="13" t="s">
        <v>129</v>
      </c>
      <c r="L14" s="15" t="s">
        <v>319</v>
      </c>
      <c r="Q14" s="3" t="s">
        <v>82</v>
      </c>
      <c r="R14" s="3" t="s">
        <v>82</v>
      </c>
    </row>
    <row r="15" spans="2:24" x14ac:dyDescent="0.3">
      <c r="B15" s="3" t="s">
        <v>27</v>
      </c>
      <c r="C15" s="4" t="s">
        <v>157</v>
      </c>
      <c r="D15" s="3" t="s">
        <v>107</v>
      </c>
      <c r="E15" s="13" t="s">
        <v>134</v>
      </c>
      <c r="H15" s="3" t="s">
        <v>24</v>
      </c>
      <c r="I15" s="3" t="s">
        <v>65</v>
      </c>
      <c r="J15" s="3" t="s">
        <v>100</v>
      </c>
      <c r="K15" s="13" t="s">
        <v>130</v>
      </c>
      <c r="L15" s="15" t="s">
        <v>377</v>
      </c>
      <c r="Q15" s="3" t="s">
        <v>83</v>
      </c>
      <c r="R15" s="3" t="s">
        <v>83</v>
      </c>
    </row>
    <row r="16" spans="2:24" x14ac:dyDescent="0.3">
      <c r="B16" s="3" t="s">
        <v>30</v>
      </c>
      <c r="C16" s="3" t="s">
        <v>67</v>
      </c>
      <c r="D16" s="3" t="s">
        <v>108</v>
      </c>
      <c r="E16" s="13" t="s">
        <v>137</v>
      </c>
      <c r="H16" s="3" t="s">
        <v>26</v>
      </c>
      <c r="I16" s="3" t="s">
        <v>66</v>
      </c>
      <c r="J16" s="3" t="s">
        <v>101</v>
      </c>
      <c r="K16" s="13" t="s">
        <v>131</v>
      </c>
      <c r="L16" s="15" t="s">
        <v>373</v>
      </c>
      <c r="Q16" s="3" t="s">
        <v>85</v>
      </c>
      <c r="R16" s="3" t="s">
        <v>85</v>
      </c>
    </row>
    <row r="17" spans="2:18" x14ac:dyDescent="0.3">
      <c r="B17" s="3" t="s">
        <v>31</v>
      </c>
      <c r="C17" s="3" t="s">
        <v>68</v>
      </c>
      <c r="D17" s="13" t="s">
        <v>113</v>
      </c>
      <c r="E17" s="13" t="s">
        <v>138</v>
      </c>
      <c r="H17" s="3" t="s">
        <v>27</v>
      </c>
      <c r="I17" s="4" t="s">
        <v>157</v>
      </c>
      <c r="J17" s="3" t="s">
        <v>105</v>
      </c>
      <c r="K17" s="13" t="s">
        <v>132</v>
      </c>
      <c r="L17" s="15" t="s">
        <v>374</v>
      </c>
      <c r="Q17" s="3" t="s">
        <v>86</v>
      </c>
      <c r="R17" s="3" t="s">
        <v>86</v>
      </c>
    </row>
    <row r="18" spans="2:18" x14ac:dyDescent="0.3">
      <c r="B18" s="3" t="s">
        <v>34</v>
      </c>
      <c r="C18" s="3" t="s">
        <v>80</v>
      </c>
      <c r="D18" s="13" t="s">
        <v>114</v>
      </c>
      <c r="E18" s="13" t="s">
        <v>140</v>
      </c>
      <c r="H18" s="3" t="s">
        <v>30</v>
      </c>
      <c r="I18" s="3" t="s">
        <v>67</v>
      </c>
      <c r="J18" s="3" t="s">
        <v>106</v>
      </c>
      <c r="K18" s="13" t="s">
        <v>133</v>
      </c>
      <c r="Q18" s="3" t="s">
        <v>99</v>
      </c>
      <c r="R18" s="3" t="s">
        <v>99</v>
      </c>
    </row>
    <row r="19" spans="2:18" x14ac:dyDescent="0.3">
      <c r="B19" s="3" t="s">
        <v>35</v>
      </c>
      <c r="C19" s="3" t="s">
        <v>81</v>
      </c>
      <c r="D19" s="13" t="s">
        <v>115</v>
      </c>
      <c r="E19" s="13" t="s">
        <v>141</v>
      </c>
      <c r="H19" s="3" t="s">
        <v>31</v>
      </c>
      <c r="I19" s="3" t="s">
        <v>68</v>
      </c>
      <c r="J19" s="3" t="s">
        <v>107</v>
      </c>
      <c r="K19" s="13" t="s">
        <v>134</v>
      </c>
      <c r="Q19" s="3" t="s">
        <v>102</v>
      </c>
      <c r="R19" s="3" t="s">
        <v>102</v>
      </c>
    </row>
    <row r="20" spans="2:18" x14ac:dyDescent="0.3">
      <c r="B20" s="3" t="s">
        <v>37</v>
      </c>
      <c r="C20" s="3" t="s">
        <v>84</v>
      </c>
      <c r="D20" s="13" t="s">
        <v>116</v>
      </c>
      <c r="E20" s="13" t="s">
        <v>142</v>
      </c>
      <c r="H20" s="3" t="s">
        <v>34</v>
      </c>
      <c r="I20" s="3" t="s">
        <v>69</v>
      </c>
      <c r="J20" s="3" t="s">
        <v>108</v>
      </c>
      <c r="K20" s="13" t="s">
        <v>137</v>
      </c>
      <c r="Q20" s="3" t="s">
        <v>103</v>
      </c>
      <c r="R20" s="3" t="s">
        <v>103</v>
      </c>
    </row>
    <row r="21" spans="2:18" x14ac:dyDescent="0.3">
      <c r="B21" s="3" t="s">
        <v>38</v>
      </c>
      <c r="C21" s="4" t="s">
        <v>252</v>
      </c>
      <c r="D21" s="13" t="s">
        <v>119</v>
      </c>
      <c r="E21" s="13" t="s">
        <v>145</v>
      </c>
      <c r="H21" s="3" t="s">
        <v>35</v>
      </c>
      <c r="I21" s="3" t="s">
        <v>70</v>
      </c>
      <c r="J21" s="13" t="s">
        <v>113</v>
      </c>
      <c r="K21" s="13" t="s">
        <v>138</v>
      </c>
      <c r="Q21" s="3" t="s">
        <v>109</v>
      </c>
      <c r="R21" s="3" t="s">
        <v>109</v>
      </c>
    </row>
    <row r="22" spans="2:18" x14ac:dyDescent="0.3">
      <c r="B22" s="3" t="s">
        <v>40</v>
      </c>
      <c r="C22" s="3" t="s">
        <v>89</v>
      </c>
      <c r="D22" s="13" t="s">
        <v>117</v>
      </c>
      <c r="E22" s="13" t="s">
        <v>146</v>
      </c>
      <c r="H22" s="3" t="s">
        <v>37</v>
      </c>
      <c r="I22" s="3" t="s">
        <v>80</v>
      </c>
      <c r="J22" s="13" t="s">
        <v>114</v>
      </c>
      <c r="K22" s="13" t="s">
        <v>140</v>
      </c>
      <c r="Q22" s="14" t="s">
        <v>153</v>
      </c>
      <c r="R22" s="14" t="s">
        <v>153</v>
      </c>
    </row>
    <row r="23" spans="2:18" x14ac:dyDescent="0.3">
      <c r="B23" s="3" t="s">
        <v>41</v>
      </c>
      <c r="C23" s="3" t="s">
        <v>90</v>
      </c>
      <c r="D23" s="13" t="s">
        <v>118</v>
      </c>
      <c r="E23" s="15" t="s">
        <v>271</v>
      </c>
      <c r="H23" s="3" t="s">
        <v>38</v>
      </c>
      <c r="I23" s="3" t="s">
        <v>81</v>
      </c>
      <c r="J23" s="13" t="s">
        <v>115</v>
      </c>
      <c r="K23" s="13" t="s">
        <v>141</v>
      </c>
      <c r="Q23" s="14" t="s">
        <v>154</v>
      </c>
      <c r="R23" s="14" t="s">
        <v>154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</vt:lpstr>
      <vt:lpstr>엔젤</vt:lpstr>
      <vt:lpstr>25년예산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2026-09-01T01:20:32Z</dcterms:created>
  <dcterms:modified xsi:type="dcterms:W3CDTF">2026-09-28T04:21:14Z</dcterms:modified>
</cp:coreProperties>
</file>